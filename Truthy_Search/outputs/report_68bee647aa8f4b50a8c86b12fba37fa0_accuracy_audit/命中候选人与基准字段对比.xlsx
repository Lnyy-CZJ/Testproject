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18cb0915dd4c7e" /></Relationships>
</file>

<file path=xl/workbook.xml><?xml version="1.0" encoding="utf-8"?>
<x:workbook xmlns:x="http://schemas.openxmlformats.org/spreadsheetml/2006/main">
  <x:sheets>
    <x:sheet xmlns:r="http://schemas.openxmlformats.org/officeDocument/2006/relationships" name="核对摘要" sheetId="1" r:id="R7eb4b272fff64f51"/>
    <x:sheet xmlns:r="http://schemas.openxmlformats.org/officeDocument/2006/relationships" name="主命中摘要" sheetId="2" r:id="R7db62de416f84465"/>
    <x:sheet xmlns:r="http://schemas.openxmlformats.org/officeDocument/2006/relationships" name="逐字段对比" sheetId="3" r:id="R8dcfe4665c8b4319"/>
    <x:sheet xmlns:r="http://schemas.openxmlformats.org/officeDocument/2006/relationships" name="字段评分资格" sheetId="4" r:id="Rf3854da5f78d4caa"/>
    <x:sheet xmlns:r="http://schemas.openxmlformats.org/officeDocument/2006/relationships" name="基准可用字段" sheetId="5" r:id="Ra18fc97572e74752"/>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0"/>
  </x:numFmts>
  <x:fonts count="3">
    <x:font>
      <x:sz val="11"/>
      <x:name val="Carlito"/>
    </x:font>
    <x:font>
      <x:b/>
      <x:sz val="15"/>
      <x:color rgb="FFFFFFFF"/>
      <x:name val="Carlito"/>
    </x:font>
    <x:font>
      <x:b/>
      <x:sz val="11"/>
      <x:color rgb="FF17365D"/>
      <x:name val="Carlito"/>
    </x:font>
  </x:fonts>
  <x:fills count="6">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FFF2CC"/>
      </x:patternFill>
    </x:fill>
    <x:fill>
      <x:patternFill patternType="solid">
        <x:fgColor rgb="FFDCE6F1"/>
      </x:patternFill>
    </x:fill>
  </x:fills>
  <x:borders count="18">
    <x:border/>
    <x:border>
      <x:left style="thin">
        <x:color rgb="FFD9E2F3"/>
      </x:left>
      <x:right style="thin">
        <x:color rgb="FFD9E2F3"/>
      </x:right>
      <x:top style="thin">
        <x:color rgb="FFD9E2F3"/>
      </x:top>
      <x:bottom style="thin">
        <x:color rgb="FFD9E2F3"/>
      </x:bottom>
    </x:border>
    <x:border>
      <x:left style="thin">
        <x:color rgb="FFC9B458"/>
      </x:left>
      <x:top style="thin">
        <x:color rgb="FFC9B458"/>
      </x:top>
    </x:border>
    <x:border>
      <x:top style="thin">
        <x:color rgb="FFC9B458"/>
      </x:top>
    </x:border>
    <x:border>
      <x:right style="thin">
        <x:color rgb="FFC9B458"/>
      </x:right>
      <x:top style="thin">
        <x:color rgb="FFC9B458"/>
      </x:top>
    </x:border>
    <x:border>
      <x:left style="thin">
        <x:color rgb="FFC9B458"/>
      </x:left>
    </x:border>
    <x:border>
      <x:right style="thin">
        <x:color rgb="FFC9B458"/>
      </x:right>
    </x:border>
    <x:border>
      <x:left style="thin">
        <x:color rgb="FFC9B458"/>
      </x:left>
      <x:bottom style="thin">
        <x:color rgb="FFC9B458"/>
      </x:bottom>
    </x:border>
    <x:border>
      <x:bottom style="thin">
        <x:color rgb="FFC9B458"/>
      </x:bottom>
    </x:border>
    <x:border>
      <x:right style="thin">
        <x:color rgb="FFC9B458"/>
      </x:right>
      <x:bottom style="thin">
        <x:color rgb="FFC9B458"/>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0" fontId="2" fillId="3"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0" fillId="4" borderId="2" xfId="0" applyNumberFormat="1" applyFont="1" applyFill="1" applyBorder="1"/>
    <x:xf numFmtId="0" fontId="0" fillId="4" borderId="3" xfId="0" applyNumberFormat="1" applyFont="1" applyFill="1" applyBorder="1"/>
    <x:xf numFmtId="0" fontId="0" fillId="4" borderId="4" xfId="0" applyNumberFormat="1" applyFont="1" applyFill="1" applyBorder="1"/>
    <x:xf numFmtId="0" fontId="0" fillId="4" borderId="5" xfId="0" applyNumberFormat="1" applyFont="1" applyFill="1" applyBorder="1"/>
    <x:xf numFmtId="0" fontId="0" fillId="4" borderId="6" xfId="0" applyNumberFormat="1" applyFont="1" applyFill="1" applyBorder="1"/>
    <x:xf numFmtId="0" fontId="0" fillId="4" borderId="7" xfId="0" applyNumberFormat="1" applyFont="1" applyFill="1" applyBorder="1"/>
    <x:xf numFmtId="0" fontId="0" fillId="4" borderId="8" xfId="0" applyNumberFormat="1" applyFont="1" applyFill="1" applyBorder="1"/>
    <x:xf numFmtId="0" fontId="0" fillId="4" borderId="9" xfId="0" applyNumberFormat="1" applyFont="1" applyFill="1" applyBorder="1"/>
    <x:xf numFmtId="0" fontId="0" fillId="4" borderId="2" xfId="0" applyNumberFormat="1" applyFont="1" applyFill="1" applyBorder="1" applyAlignment="1">
      <x:alignment wrapText="1"/>
    </x:xf>
    <x:xf numFmtId="0" fontId="0" fillId="4" borderId="3" xfId="0" applyNumberFormat="1" applyFont="1" applyFill="1" applyBorder="1" applyAlignment="1">
      <x:alignment wrapText="1"/>
    </x:xf>
    <x:xf numFmtId="0" fontId="0" fillId="4" borderId="4" xfId="0" applyNumberFormat="1" applyFont="1" applyFill="1" applyBorder="1" applyAlignment="1">
      <x:alignment wrapText="1"/>
    </x:xf>
    <x:xf numFmtId="0" fontId="0" fillId="4" borderId="5" xfId="0" applyNumberFormat="1" applyFont="1" applyFill="1" applyBorder="1" applyAlignment="1">
      <x:alignment wrapText="1"/>
    </x:xf>
    <x:xf numFmtId="0" fontId="0" fillId="4" borderId="0" xfId="0" applyNumberFormat="1" applyFont="1" applyFill="1" applyBorder="1" applyAlignment="1">
      <x:alignment wrapText="1"/>
    </x:xf>
    <x:xf numFmtId="0" fontId="0" fillId="4" borderId="6" xfId="0" applyNumberFormat="1" applyFont="1" applyFill="1" applyBorder="1" applyAlignment="1">
      <x:alignment wrapText="1"/>
    </x:xf>
    <x:xf numFmtId="0" fontId="0" fillId="4" borderId="7" xfId="0" applyNumberFormat="1" applyFont="1" applyFill="1" applyBorder="1" applyAlignment="1">
      <x:alignment wrapText="1"/>
    </x:xf>
    <x:xf numFmtId="0" fontId="0" fillId="4" borderId="8" xfId="0" applyNumberFormat="1" applyFont="1" applyFill="1" applyBorder="1" applyAlignment="1">
      <x:alignment wrapText="1"/>
    </x:xf>
    <x:xf numFmtId="0" fontId="0" fillId="4" borderId="9" xfId="0" applyNumberFormat="1" applyFont="1" applyFill="1" applyBorder="1" applyAlignment="1">
      <x:alignment wrapText="1"/>
    </x:xf>
    <x:xf numFmtId="0" fontId="0" fillId="4" borderId="2" xfId="0" applyNumberFormat="1" applyFont="1" applyFill="1" applyBorder="1" applyAlignment="1">
      <x:alignment vertical="top" wrapText="1"/>
    </x:xf>
    <x:xf numFmtId="0" fontId="0" fillId="4" borderId="3" xfId="0" applyNumberFormat="1" applyFont="1" applyFill="1" applyBorder="1" applyAlignment="1">
      <x:alignment vertical="top" wrapText="1"/>
    </x:xf>
    <x:xf numFmtId="0" fontId="0" fillId="4" borderId="4" xfId="0" applyNumberFormat="1" applyFont="1" applyFill="1" applyBorder="1" applyAlignment="1">
      <x:alignment vertical="top" wrapText="1"/>
    </x:xf>
    <x:xf numFmtId="0" fontId="0" fillId="4" borderId="5"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0" fillId="4" borderId="6" xfId="0" applyNumberFormat="1" applyFont="1" applyFill="1" applyBorder="1" applyAlignment="1">
      <x:alignment vertical="top" wrapText="1"/>
    </x:xf>
    <x:xf numFmtId="0" fontId="0" fillId="4" borderId="7" xfId="0" applyNumberFormat="1" applyFont="1" applyFill="1" applyBorder="1" applyAlignment="1">
      <x:alignment vertical="top" wrapText="1"/>
    </x:xf>
    <x:xf numFmtId="0" fontId="0" fillId="4" borderId="8" xfId="0" applyNumberFormat="1" applyFont="1" applyFill="1" applyBorder="1" applyAlignment="1">
      <x:alignment vertical="top" wrapText="1"/>
    </x:xf>
    <x:xf numFmtId="0" fontId="0" fillId="4" borderId="9" xfId="0" applyNumberFormat="1" applyFont="1" applyFill="1" applyBorder="1" applyAlignment="1">
      <x:alignment vertical="top" wrapText="1"/>
    </x:xf>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16" xfId="0" applyNumberFormat="1" applyFont="1" applyFill="1" applyBorder="1" applyAlignment="1">
      <x:alignment vertical="top" wrapText="1"/>
    </x:xf>
    <x:xf numFmtId="201" fontId="0" fillId="0" borderId="1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1" fontId="0" fillId="0" borderId="16" xfId="0" applyNumberFormat="1" applyFont="1" applyFill="1" applyBorder="1" applyAlignment="1">
      <x:alignment vertical="top"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5" borderId="1" xfId="0" applyNumberFormat="1" applyFont="1" applyFill="1" applyBorder="1" applyAlignment="1">
      <x:alignment horizontal="center" vertical="top" wrapText="1"/>
    </x:xf>
  </x:cellXfs>
  <x:cellStyles count="1">
    <x:cellStyle name="Normal" xfId="0"/>
  </x:cellStyles>
  <x:dxfs count="3">
    <x:dxf>
      <x:font>
        <x:b/>
        <x:color rgb="FF2E6B3E"/>
      </x:font>
      <x:fill>
        <x:patternFill patternType="solid">
          <x:bgColor rgb="FFE2F0D9"/>
        </x:patternFill>
      </x:fill>
    </x:dxf>
    <x:dxf>
      <x:font>
        <x:color rgb="FF9C0006"/>
      </x:font>
      <x:fill>
        <x:patternFill patternType="solid">
          <x:bgColor rgb="FFFCE4D6"/>
        </x:patternFill>
      </x:fill>
    </x:dxf>
    <x:dxf>
      <x:font>
        <x:color rgb="FF006100"/>
      </x:font>
      <x:fill>
        <x:patternFill patternType="solid">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3c5d37cb4441f8" /><Relationship Type="http://schemas.openxmlformats.org/officeDocument/2006/relationships/theme" Target="/xl/theme/theme1.xml" Id="R63b0f9a9d9fb4921" /><Relationship Type="http://schemas.openxmlformats.org/officeDocument/2006/relationships/sharedStrings" Target="/xl/sharedStrings.xml" Id="Rb44d4985424e4d1f" /><Relationship Type="http://schemas.openxmlformats.org/officeDocument/2006/relationships/worksheet" Target="/xl/worksheets/sheet1.xml" Id="R7eb4b272fff64f51" /><Relationship Type="http://schemas.openxmlformats.org/officeDocument/2006/relationships/worksheet" Target="/xl/worksheets/sheet2.xml" Id="R7db62de416f84465" /><Relationship Type="http://schemas.openxmlformats.org/officeDocument/2006/relationships/worksheet" Target="/xl/worksheets/sheet3.xml" Id="R8dcfe4665c8b4319" /><Relationship Type="http://schemas.openxmlformats.org/officeDocument/2006/relationships/worksheet" Target="/xl/worksheets/sheet4.xml" Id="Rf3854da5f78d4caa" /><Relationship Type="http://schemas.openxmlformats.org/officeDocument/2006/relationships/worksheet" Target="/xl/worksheets/sheet5.xml" Id="Ra18fc97572e7475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3" hidden="0" customWidth="1"/>
    <x:col min="2" max="2" width="90" hidden="0" customWidth="1"/>
  </x:cols>
  <x:sheetData>
    <x:row r="1" ht="28" customHeight="1">
      <x:c r="A1" s="4" t="str">
        <x:v>报告命中信息准确度核对</x:v>
      </x:c>
      <x:c r="B1" s="4" t="str">
        <x:v>报告命中信息准确度核对</x:v>
      </x:c>
      <x:c r="C1" s="4" t="str">
        <x:v>报告命中信息准确度核对</x:v>
      </x:c>
      <x:c r="D1" s="4" t="str">
        <x:v>报告命中信息准确度核对</x:v>
      </x:c>
      <x:c r="E1" s="4" t="str">
        <x:v>报告命中信息准确度核对</x:v>
      </x:c>
      <x:c r="F1" s="4" t="str">
        <x:v>报告命中信息准确度核对</x:v>
      </x:c>
      <x:c r="G1" s="4" t="str">
        <x:v>报告命中信息准确度核对</x:v>
      </x:c>
      <x:c r="H1" s="4" t="str">
        <x:v>报告命中信息准确度核对</x:v>
      </x:c>
    </x:row>
    <x:row r="3">
      <x:c r="A3" s="9" t="str">
        <x:v>报告 ID</x:v>
      </x:c>
      <x:c r="B3" s="10" t="str">
        <x:v>report_68bee647aa8f4b50a8c86b12fba37fa0</x:v>
      </x:c>
    </x:row>
    <x:row r="4">
      <x:c r="A4" s="9" t="str">
        <x:v>字段 Schema</x:v>
      </x:c>
      <x:c r="B4" s="10" t="str">
        <x:v>field-schema-20260810-093831-5c42a3 / 最新字段-加上summary_avatar_url对比</x:v>
      </x:c>
    </x:row>
    <x:row r="5">
      <x:c r="A5" s="9" t="str">
        <x:v>指标口径</x:v>
      </x:c>
      <x:c r="B5" s="10" t="str">
        <x:v>主命中候选人字段准确度的宏平均：每位主命中先算字段平均，再对主命中取平均</x:v>
      </x:c>
    </x:row>
    <x:row r="6">
      <x:c r="A6" s="9" t="str">
        <x:v>核对范围</x:v>
      </x:c>
      <x:c r="B6" s="10" t="str">
        <x:v>4 位主命中候选人；字段级对比详见“逐字段对比”</x:v>
      </x:c>
    </x:row>
    <x:row r="8">
      <x:c r="A8" s="12" t="str">
        <x:v>报告主命中数（宏平均分母）</x:v>
      </x:c>
      <x:c r="B8" s="13" t="n">
        <x:f>COUNT('主命中摘要'!I4:I7)</x:f>
        <x:v>4</x:v>
      </x:c>
    </x:row>
    <x:row r="9">
      <x:c r="A9" s="12" t="str">
        <x:v>字段级已评分槽位数（仅供核对）</x:v>
      </x:c>
      <x:c r="B9" s="13" t="n">
        <x:f>SUM('主命中摘要'!G4:G7)</x:f>
        <x:v>10</x:v>
      </x:c>
    </x:row>
    <x:row r="10">
      <x:c r="A10" s="12" t="str">
        <x:v>宏平均分子（各主命中准确度之和）</x:v>
      </x:c>
      <x:c r="B10" s="13" t="n">
        <x:f>SUM('主命中摘要'!I4:I7)</x:f>
        <x:v>2.270392156862745</x:v>
      </x:c>
    </x:row>
    <x:row r="11">
      <x:c r="A11" s="12" t="str">
        <x:v>命中信息准确度（报告指标）</x:v>
      </x:c>
      <x:c r="B11" s="14" t="n">
        <x:f>AVERAGE('主命中摘要'!I4:I7)</x:f>
        <x:v>0.5675980392156863</x:v>
      </x:c>
    </x:row>
    <x:row r="12">
      <x:c r="A12" s="12" t="str">
        <x:v>字段槽位简单平均（仅供核对，不是报告指标）</x:v>
      </x:c>
      <x:c r="B12" s="14" t="n">
        <x:f>SUM('主命中摘要'!H4:H7)/B9</x:f>
        <x:v>0.46915686274509805</x:v>
      </x:c>
    </x:row>
    <x:row r="14">
      <x:c r="A14" s="33" t="str">
        <x:v>结论：报告中显示的分母 4 是 4 位主命中候选人，而不是只比较了 4 个字段。四人内部实际共有 10 个已自动评分字段槽位。Profile 的 profile_* 基准键在本批基准中不存在；基准保存的是 profile_data / profile_sections 及 summary_age、summary_jobs、summary_location、summary_education 等键，因此 Profile 未进入自动准确度分母。</x:v>
      </x:c>
      <x:c r="B14" s="34"/>
      <x:c r="C14" s="34"/>
      <x:c r="D14" s="34"/>
      <x:c r="E14" s="34"/>
      <x:c r="F14" s="34"/>
      <x:c r="G14" s="34"/>
      <x:c r="H14" s="35"/>
    </x:row>
    <x:row r="15">
      <x:c r="A15" s="36"/>
      <x:c r="B15" s="37"/>
      <x:c r="C15" s="37"/>
      <x:c r="D15" s="37"/>
      <x:c r="E15" s="37"/>
      <x:c r="F15" s="37"/>
      <x:c r="G15" s="37"/>
      <x:c r="H15" s="38"/>
    </x:row>
    <x:row r="16">
      <x:c r="A16" s="36"/>
      <x:c r="B16" s="37"/>
      <x:c r="C16" s="37"/>
      <x:c r="D16" s="37"/>
      <x:c r="E16" s="37"/>
      <x:c r="F16" s="37"/>
      <x:c r="G16" s="37"/>
      <x:c r="H16" s="38"/>
    </x:row>
    <x:row r="17">
      <x:c r="A17" s="39"/>
      <x:c r="B17" s="40"/>
      <x:c r="C17" s="40"/>
      <x:c r="D17" s="40"/>
      <x:c r="E17" s="40"/>
      <x:c r="F17" s="40"/>
      <x:c r="G17" s="40"/>
      <x:c r="H17" s="41"/>
    </x:row>
  </x:sheetData>
  <x:mergeCells>
    <x:mergeCell ref="A1:H1"/>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8" hidden="0" customWidth="1"/>
    <x:col min="3" max="3" width="37" hidden="0" customWidth="1"/>
    <x:col min="4" max="4" width="8" hidden="0" customWidth="1"/>
    <x:col min="5" max="5" width="12" hidden="0" customWidth="1"/>
    <x:col min="6" max="6" width="18" hidden="0" customWidth="1"/>
    <x:col min="7" max="7" width="14" hidden="0" customWidth="1"/>
    <x:col min="8" max="8" width="16" hidden="0" customWidth="1"/>
    <x:col min="9" max="9" width="16" hidden="0" customWidth="1"/>
    <x:col min="10" max="10" width="28" hidden="0" customWidth="1"/>
  </x:cols>
  <x:sheetData>
    <x:row r="1" ht="28" customHeight="1">
      <x:c r="A1" s="79" t="str">
        <x:v>主命中候选人准确度拆解</x:v>
      </x:c>
      <x:c r="B1" s="79" t="str">
        <x:v>主命中候选人准确度拆解</x:v>
      </x:c>
      <x:c r="C1" s="79" t="str">
        <x:v>主命中候选人准确度拆解</x:v>
      </x:c>
      <x:c r="D1" s="79" t="str">
        <x:v>主命中候选人准确度拆解</x:v>
      </x:c>
      <x:c r="E1" s="79" t="str">
        <x:v>主命中候选人准确度拆解</x:v>
      </x:c>
      <x:c r="F1" s="79" t="str">
        <x:v>主命中候选人准确度拆解</x:v>
      </x:c>
      <x:c r="G1" s="79" t="str">
        <x:v>主命中候选人准确度拆解</x:v>
      </x:c>
      <x:c r="H1" s="79" t="str">
        <x:v>主命中候选人准确度拆解</x:v>
      </x:c>
      <x:c r="I1" s="79" t="str">
        <x:v>主命中候选人准确度拆解</x:v>
      </x:c>
      <x:c r="J1" s="79" t="str">
        <x:v>主命中候选人准确度拆解</x:v>
      </x:c>
    </x:row>
    <x:row r="2">
      <x:c r="A2" s="80"/>
      <x:c r="B2" s="80"/>
      <x:c r="C2" s="80"/>
      <x:c r="D2" s="80"/>
      <x:c r="E2" s="80"/>
      <x:c r="F2" s="80"/>
      <x:c r="G2" s="80"/>
      <x:c r="H2" s="80"/>
      <x:c r="I2" s="80"/>
      <x:c r="J2" s="80"/>
    </x:row>
    <x:row r="3" ht="32" customHeight="1">
      <x:c r="A3" s="81" t="str">
        <x:v>Query</x:v>
      </x:c>
      <x:c r="B3" s="81" t="str">
        <x:v>目标人物</x:v>
      </x:c>
      <x:c r="C3" s="81" t="str">
        <x:v>候选人 ID</x:v>
      </x:c>
      <x:c r="D3" s="81" t="str">
        <x:v>排名</x:v>
      </x:c>
      <x:c r="E3" s="81" t="str">
        <x:v>身份结论</x:v>
      </x:c>
      <x:c r="F3" s="81" t="str">
        <x:v>判断原因</x:v>
      </x:c>
      <x:c r="G3" s="81" t="str">
        <x:v>已评分字段数</x:v>
      </x:c>
      <x:c r="H3" s="81" t="str">
        <x:v>字段得分合计</x:v>
      </x:c>
      <x:c r="I3" s="81" t="str">
        <x:v>该候选人准确度</x:v>
      </x:c>
      <x:c r="J3" s="81" t="str">
        <x:v>说明</x:v>
      </x:c>
    </x:row>
    <x:row r="4">
      <x:c r="A4" s="64" t="str">
        <x:v>case-002</x:v>
      </x:c>
      <x:c r="B4" s="65" t="str">
        <x:v>Donna Pscolka</x:v>
      </x:c>
      <x:c r="C4" s="65" t="str">
        <x:v>report_ca2dee048a29f98ca3c65776_candidate_1</x:v>
      </x:c>
      <x:c r="D4" s="65" t="n">
        <x:v>1</x:v>
      </x:c>
      <x:c r="E4" s="65" t="str">
        <x:v>HIT</x:v>
      </x:c>
      <x:c r="F4" s="65" t="str">
        <x:v>SOCIAL_MATCH</x:v>
      </x:c>
      <x:c r="G4" s="76" t="n">
        <x:f>COUNTIFS('逐字段对比'!$A$4:$A$107,A4,'逐字段对比'!$O$4:$O$107,"&lt;&gt;")</x:f>
        <x:v>2</x:v>
      </x:c>
      <x:c r="H4" s="76" t="n">
        <x:f>SUMIFS('逐字段对比'!$O$4:$O$107,'逐字段对比'!$A$4:$A$107,A4)</x:f>
        <x:v>1</x:v>
      </x:c>
      <x:c r="I4" s="73" t="n">
        <x:f>IFERROR(H4/G4,"")</x:f>
        <x:v>0.5</x:v>
      </x:c>
      <x:c r="J4" s="66" t="str">
        <x:v>仅主命中进入报告的命中信息准确度</x:v>
      </x:c>
    </x:row>
    <x:row r="5">
      <x:c r="A5" s="67" t="str">
        <x:v>case-003</x:v>
      </x:c>
      <x:c r="B5" s="68" t="str">
        <x:v>Akim Smiley</x:v>
      </x:c>
      <x:c r="C5" s="68" t="str">
        <x:v>report_818b79c9a1fb3e7db6a1ac15_candidate_1</x:v>
      </x:c>
      <x:c r="D5" s="68" t="n">
        <x:v>1</x:v>
      </x:c>
      <x:c r="E5" s="68" t="str">
        <x:v>HIT</x:v>
      </x:c>
      <x:c r="F5" s="68" t="str">
        <x:v>SOCIAL_MATCH</x:v>
      </x:c>
      <x:c r="G5" s="77" t="n">
        <x:f>COUNTIFS('逐字段对比'!$A$4:$A$107,A5,'逐字段对比'!$O$4:$O$107,"&lt;&gt;")</x:f>
        <x:v>1</x:v>
      </x:c>
      <x:c r="H5" s="77" t="n">
        <x:f>SUMIFS('逐字段对比'!$O$4:$O$107,'逐字段对比'!$A$4:$A$107,A5)</x:f>
        <x:v>1</x:v>
      </x:c>
      <x:c r="I5" s="74" t="n">
        <x:f>IFERROR(H5/G5,"")</x:f>
        <x:v>1</x:v>
      </x:c>
      <x:c r="J5" s="69" t="str">
        <x:v>仅主命中进入报告的命中信息准确度</x:v>
      </x:c>
    </x:row>
    <x:row r="6">
      <x:c r="A6" s="67" t="str">
        <x:v>case-004</x:v>
      </x:c>
      <x:c r="B6" s="68" t="str">
        <x:v>Satya Nadella</x:v>
      </x:c>
      <x:c r="C6" s="68" t="str">
        <x:v>public_figure:Q7426870</x:v>
      </x:c>
      <x:c r="D6" s="68" t="n">
        <x:v>1</x:v>
      </x:c>
      <x:c r="E6" s="68" t="str">
        <x:v>HIT</x:v>
      </x:c>
      <x:c r="F6" s="68" t="str">
        <x:v>SOCIAL_MATCH</x:v>
      </x:c>
      <x:c r="G6" s="77" t="n">
        <x:f>COUNTIFS('逐字段对比'!$A$4:$A$107,A6,'逐字段对比'!$O$4:$O$107,"&lt;&gt;")</x:f>
        <x:v>3</x:v>
      </x:c>
      <x:c r="H6" s="77" t="n">
        <x:f>SUMIFS('逐字段对比'!$O$4:$O$107,'逐字段对比'!$A$4:$A$107,A6)</x:f>
        <x:v>1.17</x:v>
      </x:c>
      <x:c r="I6" s="74" t="n">
        <x:f>IFERROR(H6/G6,"")</x:f>
        <x:v>0.38999999999999996</x:v>
      </x:c>
      <x:c r="J6" s="69" t="str">
        <x:v>仅主命中进入报告的命中信息准确度</x:v>
      </x:c>
    </x:row>
    <x:row r="7">
      <x:c r="A7" s="70" t="str">
        <x:v>case-005</x:v>
      </x:c>
      <x:c r="B7" s="71" t="str">
        <x:v>Ben Carson</x:v>
      </x:c>
      <x:c r="C7" s="71" t="str">
        <x:v>public_figure:Q816459</x:v>
      </x:c>
      <x:c r="D7" s="71" t="n">
        <x:v>1</x:v>
      </x:c>
      <x:c r="E7" s="71" t="str">
        <x:v>HIT</x:v>
      </x:c>
      <x:c r="F7" s="71" t="str">
        <x:v>SOCIAL_MATCH</x:v>
      </x:c>
      <x:c r="G7" s="78" t="n">
        <x:f>COUNTIFS('逐字段对比'!$A$4:$A$107,A7,'逐字段对比'!$O$4:$O$107,"&lt;&gt;")</x:f>
        <x:v>4</x:v>
      </x:c>
      <x:c r="H7" s="78" t="n">
        <x:f>SUMIFS('逐字段对比'!$O$4:$O$107,'逐字段对比'!$A$4:$A$107,A7)</x:f>
        <x:v>1.5215686274509803</x:v>
      </x:c>
      <x:c r="I7" s="75" t="n">
        <x:f>IFERROR(H7/G7,"")</x:f>
        <x:v>0.3803921568627451</x:v>
      </x:c>
      <x:c r="J7" s="72" t="str">
        <x:v>仅主命中进入报告的命中信息准确度</x:v>
      </x:c>
    </x:row>
  </x:sheetData>
  <x:mergeCells>
    <x:mergeCell ref="A1:J1"/>
  </x:mergeCells>
  <x:conditionalFormatting sqref="A4:J7">
    <x:cfRule type="containsText" dxfId="0" priority="1" operator="containsText" text="HIT"/>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5" hidden="0" customWidth="1"/>
    <x:col min="4" max="4" width="8" hidden="0" customWidth="1"/>
    <x:col min="5" max="5" width="12" hidden="0" customWidth="1"/>
    <x:col min="6" max="6" width="28" hidden="0" customWidth="1"/>
    <x:col min="7" max="7" width="25" hidden="0" customWidth="1"/>
    <x:col min="8" max="8" width="28" hidden="0" customWidth="1"/>
    <x:col min="9" max="9" width="13" hidden="0" customWidth="1"/>
    <x:col min="10" max="10" width="13" hidden="0" customWidth="1"/>
    <x:col min="11" max="11" width="20" hidden="0" customWidth="1"/>
    <x:col min="12" max="12" width="12" hidden="0" customWidth="1"/>
    <x:col min="13" max="13" width="54" hidden="0" customWidth="1"/>
    <x:col min="14" max="14" width="54" hidden="0" customWidth="1"/>
    <x:col min="15" max="15" width="14" hidden="0" customWidth="1"/>
    <x:col min="16" max="16" width="15" hidden="0" customWidth="1"/>
    <x:col min="17" max="17" width="26" hidden="0" customWidth="1"/>
    <x:col min="18" max="18" width="14" hidden="0" customWidth="1"/>
  </x:cols>
  <x:sheetData>
    <x:row r="1" ht="28" customHeight="1">
      <x:c r="A1" s="79" t="str">
        <x:v>主命中候选人逐字段：返回值与基准值对比</x:v>
      </x:c>
      <x:c r="B1" s="79" t="str">
        <x:v>主命中候选人逐字段：返回值与基准值对比</x:v>
      </x:c>
      <x:c r="C1" s="79" t="str">
        <x:v>主命中候选人逐字段：返回值与基准值对比</x:v>
      </x:c>
      <x:c r="D1" s="79" t="str">
        <x:v>主命中候选人逐字段：返回值与基准值对比</x:v>
      </x:c>
      <x:c r="E1" s="79" t="str">
        <x:v>主命中候选人逐字段：返回值与基准值对比</x:v>
      </x:c>
      <x:c r="F1" s="79" t="str">
        <x:v>主命中候选人逐字段：返回值与基准值对比</x:v>
      </x:c>
      <x:c r="G1" s="79" t="str">
        <x:v>主命中候选人逐字段：返回值与基准值对比</x:v>
      </x:c>
      <x:c r="H1" s="79" t="str">
        <x:v>主命中候选人逐字段：返回值与基准值对比</x:v>
      </x:c>
      <x:c r="I1" s="79" t="str">
        <x:v>主命中候选人逐字段：返回值与基准值对比</x:v>
      </x:c>
      <x:c r="J1" s="79" t="str">
        <x:v>主命中候选人逐字段：返回值与基准值对比</x:v>
      </x:c>
      <x:c r="K1" s="79" t="str">
        <x:v>主命中候选人逐字段：返回值与基准值对比</x:v>
      </x:c>
      <x:c r="L1" s="79" t="str">
        <x:v>主命中候选人逐字段：返回值与基准值对比</x:v>
      </x:c>
      <x:c r="M1" s="79" t="str">
        <x:v>主命中候选人逐字段：返回值与基准值对比</x:v>
      </x:c>
      <x:c r="N1" s="79" t="str">
        <x:v>主命中候选人逐字段：返回值与基准值对比</x:v>
      </x:c>
      <x:c r="O1" s="79" t="str">
        <x:v>主命中候选人逐字段：返回值与基准值对比</x:v>
      </x:c>
      <x:c r="P1" s="79" t="str">
        <x:v>主命中候选人逐字段：返回值与基准值对比</x:v>
      </x:c>
      <x:c r="Q1" s="79" t="str">
        <x:v>主命中候选人逐字段：返回值与基准值对比</x:v>
      </x:c>
      <x:c r="R1" s="79" t="str">
        <x:v>主命中候选人逐字段：返回值与基准值对比</x:v>
      </x:c>
    </x:row>
    <x:row r="2">
      <x:c r="A2" s="80"/>
      <x:c r="B2" s="80"/>
      <x:c r="C2" s="80"/>
      <x:c r="D2" s="80"/>
      <x:c r="E2" s="80"/>
      <x:c r="F2" s="80"/>
      <x:c r="G2" s="80"/>
      <x:c r="H2" s="80"/>
      <x:c r="I2" s="80"/>
      <x:c r="J2" s="80"/>
      <x:c r="K2" s="80"/>
      <x:c r="L2" s="80"/>
      <x:c r="M2" s="80"/>
      <x:c r="N2" s="80"/>
      <x:c r="O2" s="80"/>
      <x:c r="P2" s="80"/>
      <x:c r="Q2" s="80"/>
      <x:c r="R2" s="80"/>
    </x:row>
    <x:row r="3" ht="32" customHeight="1">
      <x:c r="A3" s="81" t="str">
        <x:v>Query</x:v>
      </x:c>
      <x:c r="B3" s="81" t="str">
        <x:v>目标人物</x:v>
      </x:c>
      <x:c r="C3" s="81" t="str">
        <x:v>候选人 ID</x:v>
      </x:c>
      <x:c r="D3" s="81" t="str">
        <x:v>排名</x:v>
      </x:c>
      <x:c r="E3" s="81" t="str">
        <x:v>模块</x:v>
      </x:c>
      <x:c r="F3" s="81" t="str">
        <x:v>字段键</x:v>
      </x:c>
      <x:c r="G3" s="81" t="str">
        <x:v>字段名称</x:v>
      </x:c>
      <x:c r="H3" s="81" t="str">
        <x:v>Schema 基准键</x:v>
      </x:c>
      <x:c r="I3" s="81" t="str">
        <x:v>开启基准对比</x:v>
      </x:c>
      <x:c r="J3" s="81" t="str">
        <x:v>开启准确度</x:v>
      </x:c>
      <x:c r="K3" s="81" t="str">
        <x:v>比对方式</x:v>
      </x:c>
      <x:c r="L3" s="81" t="str">
        <x:v>基准可用</x:v>
      </x:c>
      <x:c r="M3" s="81" t="str">
        <x:v>基准值</x:v>
      </x:c>
      <x:c r="N3" s="81" t="str">
        <x:v>候选人返回值</x:v>
      </x:c>
      <x:c r="O3" s="81" t="str">
        <x:v>准确度得分</x:v>
      </x:c>
      <x:c r="P3" s="81" t="str">
        <x:v>比对状态</x:v>
      </x:c>
      <x:c r="Q3" s="81" t="str">
        <x:v>原因码</x:v>
      </x:c>
      <x:c r="R3" s="81" t="str">
        <x:v>计入准确度</x:v>
      </x:c>
    </x:row>
    <x:row r="4">
      <x:c r="A4" s="64" t="str">
        <x:v>case-002</x:v>
      </x:c>
      <x:c r="B4" s="65" t="str">
        <x:v>Donna Pscolka</x:v>
      </x:c>
      <x:c r="C4" s="65" t="str">
        <x:v>report_ca2dee048a29f98ca3c65776_candidate_1</x:v>
      </x:c>
      <x:c r="D4" s="65" t="n">
        <x:v>1</x:v>
      </x:c>
      <x:c r="E4" s="65" t="str">
        <x:v>Insights</x:v>
      </x:c>
      <x:c r="F4" s="65" t="str">
        <x:v>insights_status</x:v>
      </x:c>
      <x:c r="G4" s="65" t="str">
        <x:v>Insights Status</x:v>
      </x:c>
      <x:c r="H4" s="65" t="str">
        <x:v>insights_status</x:v>
      </x:c>
      <x:c r="I4" s="65" t="str">
        <x:v>否</x:v>
      </x:c>
      <x:c r="J4" s="65" t="str">
        <x:v>否</x:v>
      </x:c>
      <x:c r="K4" s="65" t="str">
        <x:v>normalized_text</x:v>
      </x:c>
      <x:c r="L4" s="65" t="str">
        <x:v>否</x:v>
      </x:c>
      <x:c r="M4" s="65" t="str"/>
      <x:c r="N4" s="65" t="str">
        <x:v>empty</x:v>
      </x:c>
      <x:c r="O4" s="73"/>
      <x:c r="P4" s="65" t="str"/>
      <x:c r="Q4" s="65" t="str"/>
      <x:c r="R4" s="66" t="str">
        <x:f>IF(O4&lt;&gt;"","是","否")</x:f>
        <x:v>否</x:v>
      </x:c>
    </x:row>
    <x:row r="5">
      <x:c r="A5" s="67" t="str">
        <x:v>case-002</x:v>
      </x:c>
      <x:c r="B5" s="68" t="str">
        <x:v>Donna Pscolka</x:v>
      </x:c>
      <x:c r="C5" s="68" t="str">
        <x:v>report_ca2dee048a29f98ca3c65776_candidate_1</x:v>
      </x:c>
      <x:c r="D5" s="68" t="n">
        <x:v>1</x:v>
      </x:c>
      <x:c r="E5" s="68" t="str">
        <x:v>Insights</x:v>
      </x:c>
      <x:c r="F5" s="68" t="str">
        <x:v>insights_items</x:v>
      </x:c>
      <x:c r="G5" s="68" t="str">
        <x:v>Insights Items</x:v>
      </x:c>
      <x:c r="H5" s="68" t="str">
        <x:v>insights_items</x:v>
      </x:c>
      <x:c r="I5" s="68" t="str">
        <x:v>否</x:v>
      </x:c>
      <x:c r="J5" s="68" t="str">
        <x:v>否</x:v>
      </x:c>
      <x:c r="K5" s="68" t="str">
        <x:v>set</x:v>
      </x:c>
      <x:c r="L5" s="68" t="str">
        <x:v>否</x:v>
      </x:c>
      <x:c r="M5" s="68" t="str"/>
      <x:c r="N5" s="68" t="str"/>
      <x:c r="O5" s="74"/>
      <x:c r="P5" s="68" t="str"/>
      <x:c r="Q5" s="68" t="str"/>
      <x:c r="R5" s="69" t="str">
        <x:f>IF(O5&lt;&gt;"","是","否")</x:f>
        <x:v>否</x:v>
      </x:c>
    </x:row>
    <x:row r="6">
      <x:c r="A6" s="67" t="str">
        <x:v>case-002</x:v>
      </x:c>
      <x:c r="B6" s="68" t="str">
        <x:v>Donna Pscolka</x:v>
      </x:c>
      <x:c r="C6" s="68" t="str">
        <x:v>report_ca2dee048a29f98ca3c65776_candidate_1</x:v>
      </x:c>
      <x:c r="D6" s="68" t="n">
        <x:v>1</x:v>
      </x:c>
      <x:c r="E6" s="68" t="str">
        <x:v>Insights</x:v>
      </x:c>
      <x:c r="F6" s="68" t="str">
        <x:v>insights_description</x:v>
      </x:c>
      <x:c r="G6" s="68" t="str">
        <x:v>Insights Description</x:v>
      </x:c>
      <x:c r="H6" s="68" t="str">
        <x:v>insights_description</x:v>
      </x:c>
      <x:c r="I6" s="68" t="str">
        <x:v>是</x:v>
      </x:c>
      <x:c r="J6" s="68" t="str">
        <x:v>是</x:v>
      </x:c>
      <x:c r="K6" s="68" t="str">
        <x:v>semantic_text_lite</x:v>
      </x:c>
      <x:c r="L6" s="68" t="str">
        <x:v>是</x:v>
      </x:c>
      <x:c r="M6" s="68" t="str">
        <x:v>["Donna Pscolka has held several positions in the loan servicing and financial services industry since the late 1980s. Currently, Donna serves as the Senior Manager of Loan Servicing at Dime Community Bank. Prior to this role, Donna was the Assistant Vice President of Multi Family Commercial Real Estate at Astoria Federal Savings. Throughout their career, Donna has gained experience in various aspects of loan servicing, from commercial to residential collections and foreclosures. Donna's educational background includes an Associate of Applied Science in Business from Nassau Community College and a Bachelor of Business Administration in Business Administration and Management."]</x:v>
      </x:c>
      <x:c r="N6" s="68" t="str"/>
      <x:c r="O6" s="74"/>
      <x:c r="P6" s="68" t="str">
        <x:v>READY</x:v>
      </x:c>
      <x:c r="Q6" s="68" t="str">
        <x:v>CANDIDATE_VALUE_EMPTY</x:v>
      </x:c>
      <x:c r="R6" s="69" t="str">
        <x:f>IF(O6&lt;&gt;"","是","否")</x:f>
        <x:v>否</x:v>
      </x:c>
    </x:row>
    <x:row r="7">
      <x:c r="A7" s="67" t="str">
        <x:v>case-002</x:v>
      </x:c>
      <x:c r="B7" s="68" t="str">
        <x:v>Donna Pscolka</x:v>
      </x:c>
      <x:c r="C7" s="68" t="str">
        <x:v>report_ca2dee048a29f98ca3c65776_candidate_1</x:v>
      </x:c>
      <x:c r="D7" s="68" t="n">
        <x:v>1</x:v>
      </x:c>
      <x:c r="E7" s="68" t="str">
        <x:v>Insights</x:v>
      </x:c>
      <x:c r="F7" s="68" t="str">
        <x:v>insights_links</x:v>
      </x:c>
      <x:c r="G7" s="68" t="str">
        <x:v>Insights Links</x:v>
      </x:c>
      <x:c r="H7" s="68" t="str">
        <x:v>insights_links</x:v>
      </x:c>
      <x:c r="I7" s="68" t="str">
        <x:v>是</x:v>
      </x:c>
      <x:c r="J7" s="68" t="str">
        <x:v>是</x:v>
      </x:c>
      <x:c r="K7" s="68" t="str">
        <x:v>set</x:v>
      </x:c>
      <x:c r="L7" s="68" t="str">
        <x:v>是</x:v>
      </x:c>
      <x:c r="M7" s="68" t="str">
        <x:v>["https://indeed.com/r/Donna-Pscolka/a86081e813658196","https://theorg.com/org/dime-community-bank/org-chart/donna-pscolka","https://theorg.com/org/dime-community-bank/team/donna-pscolka"]</x:v>
      </x:c>
      <x:c r="N7" s="68" t="str"/>
      <x:c r="O7" s="74"/>
      <x:c r="P7" s="68" t="str">
        <x:v>READY</x:v>
      </x:c>
      <x:c r="Q7" s="68" t="str">
        <x:v>CANDIDATE_VALUE_EMPTY</x:v>
      </x:c>
      <x:c r="R7" s="69" t="str">
        <x:f>IF(O7&lt;&gt;"","是","否")</x:f>
        <x:v>否</x:v>
      </x:c>
    </x:row>
    <x:row r="8">
      <x:c r="A8" s="67" t="str">
        <x:v>case-002</x:v>
      </x:c>
      <x:c r="B8" s="68" t="str">
        <x:v>Donna Pscolka</x:v>
      </x:c>
      <x:c r="C8" s="68" t="str">
        <x:v>report_ca2dee048a29f98ca3c65776_candidate_1</x:v>
      </x:c>
      <x:c r="D8" s="68" t="n">
        <x:v>1</x:v>
      </x:c>
      <x:c r="E8" s="68" t="str">
        <x:v>Photos</x:v>
      </x:c>
      <x:c r="F8" s="68" t="str">
        <x:v>photos_status</x:v>
      </x:c>
      <x:c r="G8" s="68" t="str">
        <x:v>Photos Status</x:v>
      </x:c>
      <x:c r="H8" s="68" t="str">
        <x:v>photos_status</x:v>
      </x:c>
      <x:c r="I8" s="68" t="str">
        <x:v>否</x:v>
      </x:c>
      <x:c r="J8" s="68" t="str">
        <x:v>否</x:v>
      </x:c>
      <x:c r="K8" s="68" t="str">
        <x:v>normalized_text</x:v>
      </x:c>
      <x:c r="L8" s="68" t="str">
        <x:v>否</x:v>
      </x:c>
      <x:c r="M8" s="68" t="str"/>
      <x:c r="N8" s="68" t="str">
        <x:v>data</x:v>
      </x:c>
      <x:c r="O8" s="74"/>
      <x:c r="P8" s="68" t="str"/>
      <x:c r="Q8" s="68" t="str"/>
      <x:c r="R8" s="69" t="str">
        <x:f>IF(O8&lt;&gt;"","是","否")</x:f>
        <x:v>否</x:v>
      </x:c>
    </x:row>
    <x:row r="9">
      <x:c r="A9" s="67" t="str">
        <x:v>case-002</x:v>
      </x:c>
      <x:c r="B9" s="68" t="str">
        <x:v>Donna Pscolka</x:v>
      </x:c>
      <x:c r="C9" s="68" t="str">
        <x:v>report_ca2dee048a29f98ca3c65776_candidate_1</x:v>
      </x:c>
      <x:c r="D9" s="68" t="n">
        <x:v>1</x:v>
      </x:c>
      <x:c r="E9" s="68" t="str">
        <x:v>Photos</x:v>
      </x:c>
      <x:c r="F9" s="68" t="str">
        <x:v>photos_authenticity_photos</x:v>
      </x:c>
      <x:c r="G9" s="68" t="str">
        <x:v>Authenticity Photos</x:v>
      </x:c>
      <x:c r="H9" s="68" t="str">
        <x:v>photos_authenticity_photos</x:v>
      </x:c>
      <x:c r="I9" s="68" t="str">
        <x:v>否</x:v>
      </x:c>
      <x:c r="J9" s="68" t="str">
        <x:v>否</x:v>
      </x:c>
      <x:c r="K9" s="68" t="str">
        <x:v>set</x:v>
      </x:c>
      <x:c r="L9" s="68" t="str">
        <x:v>否</x:v>
      </x:c>
      <x:c r="M9" s="68" t="str"/>
      <x:c r="N9" s="68" t="str">
        <x:v>[{"image_url":"https://***.myqcloud.com/***SIGNED_UPLOAD_URL***","status":"no_public_match"}]</x:v>
      </x:c>
      <x:c r="O9" s="74"/>
      <x:c r="P9" s="68" t="str"/>
      <x:c r="Q9" s="68" t="str"/>
      <x:c r="R9" s="69" t="str">
        <x:f>IF(O9&lt;&gt;"","是","否")</x:f>
        <x:v>否</x:v>
      </x:c>
    </x:row>
    <x:row r="10">
      <x:c r="A10" s="67" t="str">
        <x:v>case-002</x:v>
      </x:c>
      <x:c r="B10" s="68" t="str">
        <x:v>Donna Pscolka</x:v>
      </x:c>
      <x:c r="C10" s="68" t="str">
        <x:v>report_ca2dee048a29f98ca3c65776_candidate_1</x:v>
      </x:c>
      <x:c r="D10" s="68" t="n">
        <x:v>1</x:v>
      </x:c>
      <x:c r="E10" s="68" t="str">
        <x:v>Photos</x:v>
      </x:c>
      <x:c r="F10" s="68" t="str">
        <x:v>photos_baseline_photo_url</x:v>
      </x:c>
      <x:c r="G10" s="68" t="str">
        <x:v>Baseline Photo URL</x:v>
      </x:c>
      <x:c r="H10" s="68" t="str">
        <x:v>photos_baseline_photo_url</x:v>
      </x:c>
      <x:c r="I10" s="68" t="str">
        <x:v>是</x:v>
      </x:c>
      <x:c r="J10" s="68" t="str">
        <x:v>是</x:v>
      </x:c>
      <x:c r="K10" s="68" t="str">
        <x:v>url_set</x:v>
      </x:c>
      <x:c r="L10" s="68" t="str">
        <x:v>是</x:v>
      </x:c>
      <x:c r="M10" s="68" t="str">
        <x:v>https://kg.diffbot.com/image/api/get?fetch=yes&amp;urls=g%3Cj7P0Stn8p.%5DjEp9G.Bd%7Bkp4uKncPZ-E19y-Z86M-Di%7Dc-e%5CIuD7oTS%3A2%60zN_%3Cb4E.A%5Dm</x:v>
      </x:c>
      <x:c r="N10" s="68" t="str">
        <x:v>https://***.myqcloud.com/***SIGNED_UPLOAD_URL***</x:v>
      </x:c>
      <x:c r="O10" s="74" t="n">
        <x:v>0</x:v>
      </x:c>
      <x:c r="P10" s="68" t="str">
        <x:v>READY</x:v>
      </x:c>
      <x:c r="Q10" s="68" t="str">
        <x:v>READY</x:v>
      </x:c>
      <x:c r="R10" s="69" t="str">
        <x:f>IF(O10&lt;&gt;"","是","否")</x:f>
        <x:v>否</x:v>
      </x:c>
    </x:row>
    <x:row r="11">
      <x:c r="A11" s="67" t="str">
        <x:v>case-002</x:v>
      </x:c>
      <x:c r="B11" s="68" t="str">
        <x:v>Donna Pscolka</x:v>
      </x:c>
      <x:c r="C11" s="68" t="str">
        <x:v>report_ca2dee048a29f98ca3c65776_candidate_1</x:v>
      </x:c>
      <x:c r="D11" s="68" t="n">
        <x:v>1</x:v>
      </x:c>
      <x:c r="E11" s="68" t="str">
        <x:v>Photos</x:v>
      </x:c>
      <x:c r="F11" s="68" t="str">
        <x:v>photos_identity_match_rate</x:v>
      </x:c>
      <x:c r="G11" s="68" t="str">
        <x:v>Photo Identity Match Rate</x:v>
      </x:c>
      <x:c r="H11" s="68" t="str">
        <x:v>photos_identity_match_rate</x:v>
      </x:c>
      <x:c r="I11" s="68" t="str">
        <x:v>是</x:v>
      </x:c>
      <x:c r="J11" s="68" t="str">
        <x:v>是</x:v>
      </x:c>
      <x:c r="K11" s="68" t="str">
        <x:v>exact</x:v>
      </x:c>
      <x:c r="L11" s="68" t="str">
        <x:v>否</x:v>
      </x:c>
      <x:c r="M11" s="68" t="str"/>
      <x:c r="N11" s="68" t="str">
        <x:v>0</x:v>
      </x:c>
      <x:c r="O11" s="74"/>
      <x:c r="P11" s="68" t="str">
        <x:v>NOT_APPLICABLE</x:v>
      </x:c>
      <x:c r="Q11" s="68" t="str">
        <x:v>BASELINE_FIELD_UNAVAILABLE</x:v>
      </x:c>
      <x:c r="R11" s="69" t="str">
        <x:f>IF(O11&lt;&gt;"","是","否")</x:f>
        <x:v>否</x:v>
      </x:c>
    </x:row>
    <x:row r="12">
      <x:c r="A12" s="67" t="str">
        <x:v>case-002</x:v>
      </x:c>
      <x:c r="B12" s="68" t="str">
        <x:v>Donna Pscolka</x:v>
      </x:c>
      <x:c r="C12" s="68" t="str">
        <x:v>report_ca2dee048a29f98ca3c65776_candidate_1</x:v>
      </x:c>
      <x:c r="D12" s="68" t="n">
        <x:v>1</x:v>
      </x:c>
      <x:c r="E12" s="68" t="str">
        <x:v>Photos</x:v>
      </x:c>
      <x:c r="F12" s="68" t="str">
        <x:v>photos_match_photos</x:v>
      </x:c>
      <x:c r="G12" s="68" t="str">
        <x:v>Match Photos</x:v>
      </x:c>
      <x:c r="H12" s="68" t="str">
        <x:v>photos_match_photos</x:v>
      </x:c>
      <x:c r="I12" s="68" t="str">
        <x:v>否</x:v>
      </x:c>
      <x:c r="J12" s="68" t="str">
        <x:v>否</x:v>
      </x:c>
      <x:c r="K12" s="68" t="str">
        <x:v>set</x:v>
      </x:c>
      <x:c r="L12" s="68" t="str">
        <x:v>否</x:v>
      </x:c>
      <x:c r="M12" s="68" t="str"/>
      <x:c r="N12" s="68" t="str"/>
      <x:c r="O12" s="74"/>
      <x:c r="P12" s="68" t="str"/>
      <x:c r="Q12" s="68" t="str"/>
      <x:c r="R12" s="69" t="str">
        <x:f>IF(O12&lt;&gt;"","是","否")</x:f>
        <x:v>否</x:v>
      </x:c>
    </x:row>
    <x:row r="13">
      <x:c r="A13" s="67" t="str">
        <x:v>case-002</x:v>
      </x:c>
      <x:c r="B13" s="68" t="str">
        <x:v>Donna Pscolka</x:v>
      </x:c>
      <x:c r="C13" s="68" t="str">
        <x:v>report_ca2dee048a29f98ca3c65776_candidate_1</x:v>
      </x:c>
      <x:c r="D13" s="68" t="n">
        <x:v>1</x:v>
      </x:c>
      <x:c r="E13" s="68" t="str">
        <x:v>Profile</x:v>
      </x:c>
      <x:c r="F13" s="68" t="str">
        <x:v>profile_status</x:v>
      </x:c>
      <x:c r="G13" s="68" t="str">
        <x:v>Profile Status</x:v>
      </x:c>
      <x:c r="H13" s="68" t="str">
        <x:v>profile_status</x:v>
      </x:c>
      <x:c r="I13" s="68" t="str">
        <x:v>否</x:v>
      </x:c>
      <x:c r="J13" s="68" t="str">
        <x:v>否</x:v>
      </x:c>
      <x:c r="K13" s="68" t="str">
        <x:v>normalized_text</x:v>
      </x:c>
      <x:c r="L13" s="68" t="str">
        <x:v>否</x:v>
      </x:c>
      <x:c r="M13" s="68" t="str"/>
      <x:c r="N13" s="68" t="str">
        <x:v>data</x:v>
      </x:c>
      <x:c r="O13" s="74"/>
      <x:c r="P13" s="68" t="str"/>
      <x:c r="Q13" s="68" t="str"/>
      <x:c r="R13" s="69" t="str">
        <x:f>IF(O13&lt;&gt;"","是","否")</x:f>
        <x:v>否</x:v>
      </x:c>
    </x:row>
    <x:row r="14">
      <x:c r="A14" s="67" t="str">
        <x:v>case-002</x:v>
      </x:c>
      <x:c r="B14" s="68" t="str">
        <x:v>Donna Pscolka</x:v>
      </x:c>
      <x:c r="C14" s="68" t="str">
        <x:v>report_ca2dee048a29f98ca3c65776_candidate_1</x:v>
      </x:c>
      <x:c r="D14" s="68" t="n">
        <x:v>1</x:v>
      </x:c>
      <x:c r="E14" s="68" t="str">
        <x:v>Profile</x:v>
      </x:c>
      <x:c r="F14" s="68" t="str">
        <x:v>profile_full_name</x:v>
      </x:c>
      <x:c r="G14" s="68" t="str">
        <x:v>Profile Full Name</x:v>
      </x:c>
      <x:c r="H14" s="68" t="str">
        <x:v>profile_full_name</x:v>
      </x:c>
      <x:c r="I14" s="68" t="str">
        <x:v>是</x:v>
      </x:c>
      <x:c r="J14" s="68" t="str">
        <x:v>是</x:v>
      </x:c>
      <x:c r="K14" s="68" t="str">
        <x:v>normalized_text</x:v>
      </x:c>
      <x:c r="L14" s="68" t="str">
        <x:v>否</x:v>
      </x:c>
      <x:c r="M14" s="68" t="str"/>
      <x:c r="N14" s="68" t="str">
        <x:v>Donna Pscolka</x:v>
      </x:c>
      <x:c r="O14" s="74"/>
      <x:c r="P14" s="68" t="str">
        <x:v>NOT_APPLICABLE</x:v>
      </x:c>
      <x:c r="Q14" s="68" t="str">
        <x:v>BASELINE_FIELD_UNAVAILABLE</x:v>
      </x:c>
      <x:c r="R14" s="69" t="str">
        <x:f>IF(O14&lt;&gt;"","是","否")</x:f>
        <x:v>否</x:v>
      </x:c>
    </x:row>
    <x:row r="15">
      <x:c r="A15" s="67" t="str">
        <x:v>case-002</x:v>
      </x:c>
      <x:c r="B15" s="68" t="str">
        <x:v>Donna Pscolka</x:v>
      </x:c>
      <x:c r="C15" s="68" t="str">
        <x:v>report_ca2dee048a29f98ca3c65776_candidate_1</x:v>
      </x:c>
      <x:c r="D15" s="68" t="n">
        <x:v>1</x:v>
      </x:c>
      <x:c r="E15" s="68" t="str">
        <x:v>Profile</x:v>
      </x:c>
      <x:c r="F15" s="68" t="str">
        <x:v>profile_age</x:v>
      </x:c>
      <x:c r="G15" s="68" t="str">
        <x:v>Profile Age</x:v>
      </x:c>
      <x:c r="H15" s="68" t="str">
        <x:v>profile_age</x:v>
      </x:c>
      <x:c r="I15" s="68" t="str">
        <x:v>是</x:v>
      </x:c>
      <x:c r="J15" s="68" t="str">
        <x:v>是</x:v>
      </x:c>
      <x:c r="K15" s="68" t="str">
        <x:v>exact</x:v>
      </x:c>
      <x:c r="L15" s="68" t="str">
        <x:v>否</x:v>
      </x:c>
      <x:c r="M15" s="68" t="str"/>
      <x:c r="N15" s="68" t="str"/>
      <x:c r="O15" s="74"/>
      <x:c r="P15" s="68" t="str">
        <x:v>NOT_APPLICABLE</x:v>
      </x:c>
      <x:c r="Q15" s="68" t="str">
        <x:v>BASELINE_FIELD_UNAVAILABLE</x:v>
      </x:c>
      <x:c r="R15" s="69" t="str">
        <x:f>IF(O15&lt;&gt;"","是","否")</x:f>
        <x:v>否</x:v>
      </x:c>
    </x:row>
    <x:row r="16">
      <x:c r="A16" s="67" t="str">
        <x:v>case-002</x:v>
      </x:c>
      <x:c r="B16" s="68" t="str">
        <x:v>Donna Pscolka</x:v>
      </x:c>
      <x:c r="C16" s="68" t="str">
        <x:v>report_ca2dee048a29f98ca3c65776_candidate_1</x:v>
      </x:c>
      <x:c r="D16" s="68" t="n">
        <x:v>1</x:v>
      </x:c>
      <x:c r="E16" s="68" t="str">
        <x:v>Profile</x:v>
      </x:c>
      <x:c r="F16" s="68" t="str">
        <x:v>profile_location</x:v>
      </x:c>
      <x:c r="G16" s="68" t="str">
        <x:v>Profile Location</x:v>
      </x:c>
      <x:c r="H16" s="68" t="str">
        <x:v>profile_location</x:v>
      </x:c>
      <x:c r="I16" s="68" t="str">
        <x:v>是</x:v>
      </x:c>
      <x:c r="J16" s="68" t="str">
        <x:v>是</x:v>
      </x:c>
      <x:c r="K16" s="68" t="str">
        <x:v>semantic_text_lite</x:v>
      </x:c>
      <x:c r="L16" s="68" t="str">
        <x:v>否</x:v>
      </x:c>
      <x:c r="M16" s="68" t="str"/>
      <x:c r="N16" s="68" t="str">
        <x:v>Hicksville, New York, United States</x:v>
      </x:c>
      <x:c r="O16" s="74"/>
      <x:c r="P16" s="68" t="str">
        <x:v>NOT_APPLICABLE</x:v>
      </x:c>
      <x:c r="Q16" s="68" t="str">
        <x:v>BASELINE_FIELD_UNAVAILABLE</x:v>
      </x:c>
      <x:c r="R16" s="69" t="str">
        <x:f>IF(O16&lt;&gt;"","是","否")</x:f>
        <x:v>否</x:v>
      </x:c>
    </x:row>
    <x:row r="17">
      <x:c r="A17" s="67" t="str">
        <x:v>case-002</x:v>
      </x:c>
      <x:c r="B17" s="68" t="str">
        <x:v>Donna Pscolka</x:v>
      </x:c>
      <x:c r="C17" s="68" t="str">
        <x:v>report_ca2dee048a29f98ca3c65776_candidate_1</x:v>
      </x:c>
      <x:c r="D17" s="68" t="n">
        <x:v>1</x:v>
      </x:c>
      <x:c r="E17" s="68" t="str">
        <x:v>Profile</x:v>
      </x:c>
      <x:c r="F17" s="68" t="str">
        <x:v>profile_jobs</x:v>
      </x:c>
      <x:c r="G17" s="68" t="str">
        <x:v>Profile Current Role</x:v>
      </x:c>
      <x:c r="H17" s="68" t="str">
        <x:v>profile_jobs</x:v>
      </x:c>
      <x:c r="I17" s="68" t="str">
        <x:v>是</x:v>
      </x:c>
      <x:c r="J17" s="68" t="str">
        <x:v>是</x:v>
      </x:c>
      <x:c r="K17" s="68" t="str">
        <x:v>semantic_text_lite</x:v>
      </x:c>
      <x:c r="L17" s="68" t="str">
        <x:v>否</x:v>
      </x:c>
      <x:c r="M17" s="68" t="str"/>
      <x:c r="N17" s="68" t="str">
        <x:v>["Senior Manager Loan Servicing at Dime Commercial Bank"]</x:v>
      </x:c>
      <x:c r="O17" s="74"/>
      <x:c r="P17" s="68" t="str">
        <x:v>NOT_APPLICABLE</x:v>
      </x:c>
      <x:c r="Q17" s="68" t="str">
        <x:v>BASELINE_FIELD_UNAVAILABLE</x:v>
      </x:c>
      <x:c r="R17" s="69" t="str">
        <x:f>IF(O17&lt;&gt;"","是","否")</x:f>
        <x:v>否</x:v>
      </x:c>
    </x:row>
    <x:row r="18">
      <x:c r="A18" s="67" t="str">
        <x:v>case-002</x:v>
      </x:c>
      <x:c r="B18" s="68" t="str">
        <x:v>Donna Pscolka</x:v>
      </x:c>
      <x:c r="C18" s="68" t="str">
        <x:v>report_ca2dee048a29f98ca3c65776_candidate_1</x:v>
      </x:c>
      <x:c r="D18" s="68" t="n">
        <x:v>1</x:v>
      </x:c>
      <x:c r="E18" s="68" t="str">
        <x:v>Profile</x:v>
      </x:c>
      <x:c r="F18" s="68" t="str">
        <x:v>profile_education</x:v>
      </x:c>
      <x:c r="G18" s="68" t="str">
        <x:v>Profile Education</x:v>
      </x:c>
      <x:c r="H18" s="68" t="str">
        <x:v>profile_education</x:v>
      </x:c>
      <x:c r="I18" s="68" t="str">
        <x:v>是</x:v>
      </x:c>
      <x:c r="J18" s="68" t="str">
        <x:v>是</x:v>
      </x:c>
      <x:c r="K18" s="68" t="str">
        <x:v>semantic_text_lite</x:v>
      </x:c>
      <x:c r="L18" s="68" t="str">
        <x:v>否</x:v>
      </x:c>
      <x:c r="M18" s="68" t="str"/>
      <x:c r="N18" s="68" t="str">
        <x:v>Nassau Community College Associate of Arts Associates; Nassau Community College Bachelor of Business Administration Bachelors</x:v>
      </x:c>
      <x:c r="O18" s="74"/>
      <x:c r="P18" s="68" t="str">
        <x:v>NOT_APPLICABLE</x:v>
      </x:c>
      <x:c r="Q18" s="68" t="str">
        <x:v>BASELINE_FIELD_UNAVAILABLE</x:v>
      </x:c>
      <x:c r="R18" s="69" t="str">
        <x:f>IF(O18&lt;&gt;"","是","否")</x:f>
        <x:v>否</x:v>
      </x:c>
    </x:row>
    <x:row r="19">
      <x:c r="A19" s="67" t="str">
        <x:v>case-002</x:v>
      </x:c>
      <x:c r="B19" s="68" t="str">
        <x:v>Donna Pscolka</x:v>
      </x:c>
      <x:c r="C19" s="68" t="str">
        <x:v>report_ca2dee048a29f98ca3c65776_candidate_1</x:v>
      </x:c>
      <x:c r="D19" s="68" t="n">
        <x:v>1</x:v>
      </x:c>
      <x:c r="E19" s="68" t="str">
        <x:v>Social</x:v>
      </x:c>
      <x:c r="F19" s="68" t="str">
        <x:v>social_status</x:v>
      </x:c>
      <x:c r="G19" s="68" t="str">
        <x:v>Social Status</x:v>
      </x:c>
      <x:c r="H19" s="68" t="str">
        <x:v>social_status</x:v>
      </x:c>
      <x:c r="I19" s="68" t="str">
        <x:v>否</x:v>
      </x:c>
      <x:c r="J19" s="68" t="str">
        <x:v>否</x:v>
      </x:c>
      <x:c r="K19" s="68" t="str">
        <x:v>normalized_text</x:v>
      </x:c>
      <x:c r="L19" s="68" t="str">
        <x:v>否</x:v>
      </x:c>
      <x:c r="M19" s="68" t="str"/>
      <x:c r="N19" s="68" t="str">
        <x:v>data</x:v>
      </x:c>
      <x:c r="O19" s="74"/>
      <x:c r="P19" s="68" t="str"/>
      <x:c r="Q19" s="68" t="str"/>
      <x:c r="R19" s="69" t="str">
        <x:f>IF(O19&lt;&gt;"","是","否")</x:f>
        <x:v>否</x:v>
      </x:c>
    </x:row>
    <x:row r="20">
      <x:c r="A20" s="67" t="str">
        <x:v>case-002</x:v>
      </x:c>
      <x:c r="B20" s="68" t="str">
        <x:v>Donna Pscolka</x:v>
      </x:c>
      <x:c r="C20" s="68" t="str">
        <x:v>report_ca2dee048a29f98ca3c65776_candidate_1</x:v>
      </x:c>
      <x:c r="D20" s="68" t="n">
        <x:v>1</x:v>
      </x:c>
      <x:c r="E20" s="68" t="str">
        <x:v>Social</x:v>
      </x:c>
      <x:c r="F20" s="68" t="str">
        <x:v>social_private_accounts</x:v>
      </x:c>
      <x:c r="G20" s="68" t="str">
        <x:v>Private Accounts</x:v>
      </x:c>
      <x:c r="H20" s="68" t="str">
        <x:v>social_private_accounts</x:v>
      </x:c>
      <x:c r="I20" s="68" t="str">
        <x:v>是</x:v>
      </x:c>
      <x:c r="J20" s="68" t="str">
        <x:v>是</x:v>
      </x:c>
      <x:c r="K20" s="68" t="str">
        <x:v>set</x:v>
      </x:c>
      <x:c r="L20" s="68" t="str">
        <x:v>否</x:v>
      </x:c>
      <x:c r="M20" s="68" t="str"/>
      <x:c r="N20" s="68" t="str"/>
      <x:c r="O20" s="74"/>
      <x:c r="P20" s="68" t="str">
        <x:v>NOT_APPLICABLE</x:v>
      </x:c>
      <x:c r="Q20" s="68" t="str">
        <x:v>BASELINE_FIELD_UNAVAILABLE</x:v>
      </x:c>
      <x:c r="R20" s="69" t="str">
        <x:f>IF(O20&lt;&gt;"","是","否")</x:f>
        <x:v>否</x:v>
      </x:c>
    </x:row>
    <x:row r="21">
      <x:c r="A21" s="67" t="str">
        <x:v>case-002</x:v>
      </x:c>
      <x:c r="B21" s="68" t="str">
        <x:v>Donna Pscolka</x:v>
      </x:c>
      <x:c r="C21" s="68" t="str">
        <x:v>report_ca2dee048a29f98ca3c65776_candidate_1</x:v>
      </x:c>
      <x:c r="D21" s="68" t="n">
        <x:v>1</x:v>
      </x:c>
      <x:c r="E21" s="68" t="str">
        <x:v>Social</x:v>
      </x:c>
      <x:c r="F21" s="68" t="str">
        <x:v>social_display_handles</x:v>
      </x:c>
      <x:c r="G21" s="68" t="str">
        <x:v>Social Display Handles</x:v>
      </x:c>
      <x:c r="H21" s="68" t="str">
        <x:v>social_display_handles</x:v>
      </x:c>
      <x:c r="I21" s="68" t="str">
        <x:v>否</x:v>
      </x:c>
      <x:c r="J21" s="68" t="str">
        <x:v>否</x:v>
      </x:c>
      <x:c r="K21" s="68" t="str">
        <x:v>set</x:v>
      </x:c>
      <x:c r="L21" s="68" t="str">
        <x:v>是</x:v>
      </x:c>
      <x:c r="M21" s="68" t="str">
        <x:v>["donna-pscolka-1435b913"]</x:v>
      </x:c>
      <x:c r="N21" s="68" t="str">
        <x:v>["donna-pscolka-1435b913"]</x:v>
      </x:c>
      <x:c r="O21" s="74"/>
      <x:c r="P21" s="68" t="str"/>
      <x:c r="Q21" s="68" t="str"/>
      <x:c r="R21" s="69" t="str">
        <x:f>IF(O21&lt;&gt;"","是","否")</x:f>
        <x:v>否</x:v>
      </x:c>
    </x:row>
    <x:row r="22">
      <x:c r="A22" s="67" t="str">
        <x:v>case-002</x:v>
      </x:c>
      <x:c r="B22" s="68" t="str">
        <x:v>Donna Pscolka</x:v>
      </x:c>
      <x:c r="C22" s="68" t="str">
        <x:v>report_ca2dee048a29f98ca3c65776_candidate_1</x:v>
      </x:c>
      <x:c r="D22" s="68" t="n">
        <x:v>1</x:v>
      </x:c>
      <x:c r="E22" s="68" t="str">
        <x:v>Social</x:v>
      </x:c>
      <x:c r="F22" s="68" t="str">
        <x:v>social_platforms</x:v>
      </x:c>
      <x:c r="G22" s="68" t="str">
        <x:v>Social Platforms</x:v>
      </x:c>
      <x:c r="H22" s="68" t="str">
        <x:v>social_platforms</x:v>
      </x:c>
      <x:c r="I22" s="68" t="str">
        <x:v>否</x:v>
      </x:c>
      <x:c r="J22" s="68" t="str">
        <x:v>否</x:v>
      </x:c>
      <x:c r="K22" s="68" t="str">
        <x:v>set</x:v>
      </x:c>
      <x:c r="L22" s="68" t="str">
        <x:v>是</x:v>
      </x:c>
      <x:c r="M22" s="68" t="str">
        <x:v>["linkedin"]</x:v>
      </x:c>
      <x:c r="N22" s="68" t="str">
        <x:v>["linkedin"]</x:v>
      </x:c>
      <x:c r="O22" s="74"/>
      <x:c r="P22" s="68" t="str"/>
      <x:c r="Q22" s="68" t="str"/>
      <x:c r="R22" s="69" t="str">
        <x:f>IF(O22&lt;&gt;"","是","否")</x:f>
        <x:v>否</x:v>
      </x:c>
    </x:row>
    <x:row r="23">
      <x:c r="A23" s="67" t="str">
        <x:v>case-002</x:v>
      </x:c>
      <x:c r="B23" s="68" t="str">
        <x:v>Donna Pscolka</x:v>
      </x:c>
      <x:c r="C23" s="68" t="str">
        <x:v>report_ca2dee048a29f98ca3c65776_candidate_1</x:v>
      </x:c>
      <x:c r="D23" s="68" t="n">
        <x:v>1</x:v>
      </x:c>
      <x:c r="E23" s="68" t="str">
        <x:v>Social</x:v>
      </x:c>
      <x:c r="F23" s="68" t="str">
        <x:v>social_urls</x:v>
      </x:c>
      <x:c r="G23" s="68" t="str">
        <x:v>Social URLs</x:v>
      </x:c>
      <x:c r="H23" s="68" t="str">
        <x:v>social_urls</x:v>
      </x:c>
      <x:c r="I23" s="68" t="str">
        <x:v>是</x:v>
      </x:c>
      <x:c r="J23" s="68" t="str">
        <x:v>是</x:v>
      </x:c>
      <x:c r="K23" s="68" t="str">
        <x:v>url_set</x:v>
      </x:c>
      <x:c r="L23" s="68" t="str">
        <x:v>是</x:v>
      </x:c>
      <x:c r="M23" s="68" t="str">
        <x:v>["https://linkedin.com/in/donna-pscolka-1435b913"]</x:v>
      </x:c>
      <x:c r="N23" s="68" t="str">
        <x:v>["https://linkedin.com/in/donna-pscolka-1435b913"]</x:v>
      </x:c>
      <x:c r="O23" s="74" t="n">
        <x:v>1</x:v>
      </x:c>
      <x:c r="P23" s="68" t="str">
        <x:v>READY</x:v>
      </x:c>
      <x:c r="Q23" s="68" t="str">
        <x:v>READY</x:v>
      </x:c>
      <x:c r="R23" s="69" t="str">
        <x:f>IF(O23&lt;&gt;"","是","否")</x:f>
        <x:v>是</x:v>
      </x:c>
    </x:row>
    <x:row r="24">
      <x:c r="A24" s="67" t="str">
        <x:v>case-002</x:v>
      </x:c>
      <x:c r="B24" s="68" t="str">
        <x:v>Donna Pscolka</x:v>
      </x:c>
      <x:c r="C24" s="68" t="str">
        <x:v>report_ca2dee048a29f98ca3c65776_candidate_1</x:v>
      </x:c>
      <x:c r="D24" s="68" t="n">
        <x:v>1</x:v>
      </x:c>
      <x:c r="E24" s="68" t="str">
        <x:v>Social</x:v>
      </x:c>
      <x:c r="F24" s="68" t="str">
        <x:v>social_usernames</x:v>
      </x:c>
      <x:c r="G24" s="68" t="str">
        <x:v>Social Usernames</x:v>
      </x:c>
      <x:c r="H24" s="68" t="str">
        <x:v>social_usernames</x:v>
      </x:c>
      <x:c r="I24" s="68" t="str">
        <x:v>否</x:v>
      </x:c>
      <x:c r="J24" s="68" t="str">
        <x:v>否</x:v>
      </x:c>
      <x:c r="K24" s="68" t="str">
        <x:v>set</x:v>
      </x:c>
      <x:c r="L24" s="68" t="str">
        <x:v>是</x:v>
      </x:c>
      <x:c r="M24" s="68" t="str">
        <x:v>["donna-pscolka-1435b913"]</x:v>
      </x:c>
      <x:c r="N24" s="68" t="str">
        <x:v>["donna-pscolka-1435b913"]</x:v>
      </x:c>
      <x:c r="O24" s="74"/>
      <x:c r="P24" s="68" t="str"/>
      <x:c r="Q24" s="68" t="str"/>
      <x:c r="R24" s="69" t="str">
        <x:f>IF(O24&lt;&gt;"","是","否")</x:f>
        <x:v>否</x:v>
      </x:c>
    </x:row>
    <x:row r="25">
      <x:c r="A25" s="67" t="str">
        <x:v>case-002</x:v>
      </x:c>
      <x:c r="B25" s="68" t="str">
        <x:v>Donna Pscolka</x:v>
      </x:c>
      <x:c r="C25" s="68" t="str">
        <x:v>report_ca2dee048a29f98ca3c65776_candidate_1</x:v>
      </x:c>
      <x:c r="D25" s="68" t="n">
        <x:v>1</x:v>
      </x:c>
      <x:c r="E25" s="68" t="str">
        <x:v>Summary</x:v>
      </x:c>
      <x:c r="F25" s="68" t="str">
        <x:v>summary_status</x:v>
      </x:c>
      <x:c r="G25" s="68" t="str">
        <x:v>Summary Status</x:v>
      </x:c>
      <x:c r="H25" s="68" t="str">
        <x:v>summary_status</x:v>
      </x:c>
      <x:c r="I25" s="68" t="str">
        <x:v>否</x:v>
      </x:c>
      <x:c r="J25" s="68" t="str">
        <x:v>否</x:v>
      </x:c>
      <x:c r="K25" s="68" t="str">
        <x:v>normalized_text</x:v>
      </x:c>
      <x:c r="L25" s="68" t="str">
        <x:v>否</x:v>
      </x:c>
      <x:c r="M25" s="68" t="str"/>
      <x:c r="N25" s="68" t="str">
        <x:v>data</x:v>
      </x:c>
      <x:c r="O25" s="74"/>
      <x:c r="P25" s="68" t="str"/>
      <x:c r="Q25" s="68" t="str"/>
      <x:c r="R25" s="69" t="str">
        <x:f>IF(O25&lt;&gt;"","是","否")</x:f>
        <x:v>否</x:v>
      </x:c>
    </x:row>
    <x:row r="26">
      <x:c r="A26" s="67" t="str">
        <x:v>case-002</x:v>
      </x:c>
      <x:c r="B26" s="68" t="str">
        <x:v>Donna Pscolka</x:v>
      </x:c>
      <x:c r="C26" s="68" t="str">
        <x:v>report_ca2dee048a29f98ca3c65776_candidate_1</x:v>
      </x:c>
      <x:c r="D26" s="68" t="n">
        <x:v>1</x:v>
      </x:c>
      <x:c r="E26" s="68" t="str">
        <x:v>Summary</x:v>
      </x:c>
      <x:c r="F26" s="68" t="str">
        <x:v>summary_avatar_url</x:v>
      </x:c>
      <x:c r="G26" s="68" t="str">
        <x:v>Summary Avatar URL</x:v>
      </x:c>
      <x:c r="H26" s="68" t="str">
        <x:v>summary_avatar_url</x:v>
      </x:c>
      <x:c r="I26" s="68" t="str">
        <x:v>否</x:v>
      </x:c>
      <x:c r="J26" s="68" t="str">
        <x:v>是</x:v>
      </x:c>
      <x:c r="K26" s="68" t="str">
        <x:v>url_set</x:v>
      </x:c>
      <x:c r="L26" s="68" t="str">
        <x:v>是</x:v>
      </x:c>
      <x:c r="M26" s="68" t="str">
        <x:v>https://kg.diffbot.com/image/api/get?fetch=yes&amp;urls=g%3Cj7P0Stn8p.%5DjEp9G.Bd%7Bkp4uKncPZ-E19y-Z86M-Di%7Dc-e%5CIuD7oTS%3A2%60zN_%3Cb4E.A%5Dm</x:v>
      </x:c>
      <x:c r="N26" s="68" t="str">
        <x:v>https://media.licdn.com/dms/image/v2/C4D03AQHA0JCDIrACfQ/profile-displayphoto-shrink_200_200/profile-displayphoto-shrink_200_200/0/1524853740215?e=2147483647&amp;v=beta&amp;t=dl5g5GlDnRtK122a0F0xWk9HAy0IQsmj9gcdVkUpt4M</x:v>
      </x:c>
      <x:c r="O26" s="74"/>
      <x:c r="P26" s="68" t="str">
        <x:v>NOT_APPLICABLE</x:v>
      </x:c>
      <x:c r="Q26" s="68" t="str">
        <x:v>BASELINE_COMPARISON_DISABLED</x:v>
      </x:c>
      <x:c r="R26" s="69" t="str">
        <x:f>IF(O26&lt;&gt;"","是","否")</x:f>
        <x:v>否</x:v>
      </x:c>
    </x:row>
    <x:row r="27">
      <x:c r="A27" s="67" t="str">
        <x:v>case-002</x:v>
      </x:c>
      <x:c r="B27" s="68" t="str">
        <x:v>Donna Pscolka</x:v>
      </x:c>
      <x:c r="C27" s="68" t="str">
        <x:v>report_ca2dee048a29f98ca3c65776_candidate_1</x:v>
      </x:c>
      <x:c r="D27" s="68" t="n">
        <x:v>1</x:v>
      </x:c>
      <x:c r="E27" s="68" t="str">
        <x:v>Summary</x:v>
      </x:c>
      <x:c r="F27" s="68" t="str">
        <x:v>candidate_confidence</x:v>
      </x:c>
      <x:c r="G27" s="68" t="str">
        <x:v>Summary Confidence Level</x:v>
      </x:c>
      <x:c r="H27" s="68" t="str">
        <x:v>candidate_confidence</x:v>
      </x:c>
      <x:c r="I27" s="68" t="str">
        <x:v>否</x:v>
      </x:c>
      <x:c r="J27" s="68" t="str">
        <x:v>否</x:v>
      </x:c>
      <x:c r="K27" s="68" t="str">
        <x:v>normalized_text</x:v>
      </x:c>
      <x:c r="L27" s="68" t="str">
        <x:v>否</x:v>
      </x:c>
      <x:c r="M27" s="68" t="str"/>
      <x:c r="N27" s="68" t="str">
        <x:v>HIGH</x:v>
      </x:c>
      <x:c r="O27" s="74"/>
      <x:c r="P27" s="68" t="str"/>
      <x:c r="Q27" s="68" t="str"/>
      <x:c r="R27" s="69" t="str">
        <x:f>IF(O27&lt;&gt;"","是","否")</x:f>
        <x:v>否</x:v>
      </x:c>
    </x:row>
    <x:row r="28">
      <x:c r="A28" s="67" t="str">
        <x:v>case-002</x:v>
      </x:c>
      <x:c r="B28" s="68" t="str">
        <x:v>Donna Pscolka</x:v>
      </x:c>
      <x:c r="C28" s="68" t="str">
        <x:v>report_ca2dee048a29f98ca3c65776_candidate_1</x:v>
      </x:c>
      <x:c r="D28" s="68" t="n">
        <x:v>1</x:v>
      </x:c>
      <x:c r="E28" s="68" t="str">
        <x:v>Summary</x:v>
      </x:c>
      <x:c r="F28" s="68" t="str">
        <x:v>summary_is_best_match</x:v>
      </x:c>
      <x:c r="G28" s="68" t="str">
        <x:v>Summary Is Best Match</x:v>
      </x:c>
      <x:c r="H28" s="68" t="str">
        <x:v>summary_is_best_match</x:v>
      </x:c>
      <x:c r="I28" s="68" t="str">
        <x:v>否</x:v>
      </x:c>
      <x:c r="J28" s="68" t="str">
        <x:v>否</x:v>
      </x:c>
      <x:c r="K28" s="68" t="str">
        <x:v>exact</x:v>
      </x:c>
      <x:c r="L28" s="68" t="str">
        <x:v>否</x:v>
      </x:c>
      <x:c r="M28" s="68" t="str"/>
      <x:c r="N28" s="68" t="str">
        <x:v>false</x:v>
      </x:c>
      <x:c r="O28" s="74"/>
      <x:c r="P28" s="68" t="str"/>
      <x:c r="Q28" s="68" t="str"/>
      <x:c r="R28" s="69" t="str">
        <x:f>IF(O28&lt;&gt;"","是","否")</x:f>
        <x:v>否</x:v>
      </x:c>
    </x:row>
    <x:row r="29">
      <x:c r="A29" s="67" t="str">
        <x:v>case-002</x:v>
      </x:c>
      <x:c r="B29" s="68" t="str">
        <x:v>Donna Pscolka</x:v>
      </x:c>
      <x:c r="C29" s="68" t="str">
        <x:v>report_ca2dee048a29f98ca3c65776_candidate_1</x:v>
      </x:c>
      <x:c r="D29" s="68" t="n">
        <x:v>1</x:v>
      </x:c>
      <x:c r="E29" s="68" t="str">
        <x:v>Summary</x:v>
      </x:c>
      <x:c r="F29" s="68" t="str">
        <x:v>summary_is_top_result</x:v>
      </x:c>
      <x:c r="G29" s="68" t="str">
        <x:v>Summary Is Top Result</x:v>
      </x:c>
      <x:c r="H29" s="68" t="str">
        <x:v>summary_is_top_result</x:v>
      </x:c>
      <x:c r="I29" s="68" t="str">
        <x:v>否</x:v>
      </x:c>
      <x:c r="J29" s="68" t="str">
        <x:v>否</x:v>
      </x:c>
      <x:c r="K29" s="68" t="str">
        <x:v>exact</x:v>
      </x:c>
      <x:c r="L29" s="68" t="str">
        <x:v>否</x:v>
      </x:c>
      <x:c r="M29" s="68" t="str"/>
      <x:c r="N29" s="68" t="str">
        <x:v>true</x:v>
      </x:c>
      <x:c r="O29" s="74"/>
      <x:c r="P29" s="68" t="str"/>
      <x:c r="Q29" s="68" t="str"/>
      <x:c r="R29" s="69" t="str">
        <x:f>IF(O29&lt;&gt;"","是","否")</x:f>
        <x:v>否</x:v>
      </x:c>
    </x:row>
    <x:row r="30">
      <x:c r="A30" s="67" t="str">
        <x:v>case-003</x:v>
      </x:c>
      <x:c r="B30" s="68" t="str">
        <x:v>Akim Smiley</x:v>
      </x:c>
      <x:c r="C30" s="68" t="str">
        <x:v>report_818b79c9a1fb3e7db6a1ac15_candidate_1</x:v>
      </x:c>
      <x:c r="D30" s="68" t="n">
        <x:v>1</x:v>
      </x:c>
      <x:c r="E30" s="68" t="str">
        <x:v>Insights</x:v>
      </x:c>
      <x:c r="F30" s="68" t="str">
        <x:v>insights_status</x:v>
      </x:c>
      <x:c r="G30" s="68" t="str">
        <x:v>Insights Status</x:v>
      </x:c>
      <x:c r="H30" s="68" t="str">
        <x:v>insights_status</x:v>
      </x:c>
      <x:c r="I30" s="68" t="str">
        <x:v>否</x:v>
      </x:c>
      <x:c r="J30" s="68" t="str">
        <x:v>否</x:v>
      </x:c>
      <x:c r="K30" s="68" t="str">
        <x:v>normalized_text</x:v>
      </x:c>
      <x:c r="L30" s="68" t="str">
        <x:v>否</x:v>
      </x:c>
      <x:c r="M30" s="68" t="str"/>
      <x:c r="N30" s="68" t="str">
        <x:v>empty</x:v>
      </x:c>
      <x:c r="O30" s="74"/>
      <x:c r="P30" s="68" t="str"/>
      <x:c r="Q30" s="68" t="str"/>
      <x:c r="R30" s="69" t="str">
        <x:f>IF(O30&lt;&gt;"","是","否")</x:f>
        <x:v>否</x:v>
      </x:c>
    </x:row>
    <x:row r="31">
      <x:c r="A31" s="67" t="str">
        <x:v>case-003</x:v>
      </x:c>
      <x:c r="B31" s="68" t="str">
        <x:v>Akim Smiley</x:v>
      </x:c>
      <x:c r="C31" s="68" t="str">
        <x:v>report_818b79c9a1fb3e7db6a1ac15_candidate_1</x:v>
      </x:c>
      <x:c r="D31" s="68" t="n">
        <x:v>1</x:v>
      </x:c>
      <x:c r="E31" s="68" t="str">
        <x:v>Insights</x:v>
      </x:c>
      <x:c r="F31" s="68" t="str">
        <x:v>insights_items</x:v>
      </x:c>
      <x:c r="G31" s="68" t="str">
        <x:v>Insights Items</x:v>
      </x:c>
      <x:c r="H31" s="68" t="str">
        <x:v>insights_items</x:v>
      </x:c>
      <x:c r="I31" s="68" t="str">
        <x:v>否</x:v>
      </x:c>
      <x:c r="J31" s="68" t="str">
        <x:v>否</x:v>
      </x:c>
      <x:c r="K31" s="68" t="str">
        <x:v>set</x:v>
      </x:c>
      <x:c r="L31" s="68" t="str">
        <x:v>否</x:v>
      </x:c>
      <x:c r="M31" s="68" t="str"/>
      <x:c r="N31" s="68" t="str"/>
      <x:c r="O31" s="74"/>
      <x:c r="P31" s="68" t="str"/>
      <x:c r="Q31" s="68" t="str"/>
      <x:c r="R31" s="69" t="str">
        <x:f>IF(O31&lt;&gt;"","是","否")</x:f>
        <x:v>否</x:v>
      </x:c>
    </x:row>
    <x:row r="32">
      <x:c r="A32" s="67" t="str">
        <x:v>case-003</x:v>
      </x:c>
      <x:c r="B32" s="68" t="str">
        <x:v>Akim Smiley</x:v>
      </x:c>
      <x:c r="C32" s="68" t="str">
        <x:v>report_818b79c9a1fb3e7db6a1ac15_candidate_1</x:v>
      </x:c>
      <x:c r="D32" s="68" t="n">
        <x:v>1</x:v>
      </x:c>
      <x:c r="E32" s="68" t="str">
        <x:v>Insights</x:v>
      </x:c>
      <x:c r="F32" s="68" t="str">
        <x:v>insights_description</x:v>
      </x:c>
      <x:c r="G32" s="68" t="str">
        <x:v>Insights Description</x:v>
      </x:c>
      <x:c r="H32" s="68" t="str">
        <x:v>insights_description</x:v>
      </x:c>
      <x:c r="I32" s="68" t="str">
        <x:v>是</x:v>
      </x:c>
      <x:c r="J32" s="68" t="str">
        <x:v>是</x:v>
      </x:c>
      <x:c r="K32" s="68" t="str">
        <x:v>semantic_text_lite</x:v>
      </x:c>
      <x:c r="L32" s="68" t="str">
        <x:v>是</x:v>
      </x:c>
      <x:c r="M32" s="68" t="str">
        <x:v>["Akim Smiley is a seasoned professional in data engineering and technology consulting with extensive experience in the energy sector. Currently serving as the Lead Data Engineer at Devon Energy since July 2013, Akim has previously held roles such as Senior Applications Developer/Analyst at Chesapeake Energy and Technical Lead at Vitech Systems Group. Additional experience includes positions as a Senior Consultant at Deloitte Consulting and Senior Technology Consultant at BearingPoint, as well as a Database Analyst at the District Attorney's Council. Akim Smiley holds a Bachelor of Business Administration in Management Information Systems from the University of Central Oklahoma, earned between 1995 and 1999."]</x:v>
      </x:c>
      <x:c r="N32" s="68" t="str"/>
      <x:c r="O32" s="74"/>
      <x:c r="P32" s="68" t="str">
        <x:v>READY</x:v>
      </x:c>
      <x:c r="Q32" s="68" t="str">
        <x:v>CANDIDATE_VALUE_EMPTY</x:v>
      </x:c>
      <x:c r="R32" s="69" t="str">
        <x:f>IF(O32&lt;&gt;"","是","否")</x:f>
        <x:v>否</x:v>
      </x:c>
    </x:row>
    <x:row r="33">
      <x:c r="A33" s="67" t="str">
        <x:v>case-003</x:v>
      </x:c>
      <x:c r="B33" s="68" t="str">
        <x:v>Akim Smiley</x:v>
      </x:c>
      <x:c r="C33" s="68" t="str">
        <x:v>report_818b79c9a1fb3e7db6a1ac15_candidate_1</x:v>
      </x:c>
      <x:c r="D33" s="68" t="n">
        <x:v>1</x:v>
      </x:c>
      <x:c r="E33" s="68" t="str">
        <x:v>Insights</x:v>
      </x:c>
      <x:c r="F33" s="68" t="str">
        <x:v>insights_links</x:v>
      </x:c>
      <x:c r="G33" s="68" t="str">
        <x:v>Insights Links</x:v>
      </x:c>
      <x:c r="H33" s="68" t="str">
        <x:v>insights_links</x:v>
      </x:c>
      <x:c r="I33" s="68" t="str">
        <x:v>是</x:v>
      </x:c>
      <x:c r="J33" s="68" t="str">
        <x:v>是</x:v>
      </x:c>
      <x:c r="K33" s="68" t="str">
        <x:v>set</x:v>
      </x:c>
      <x:c r="L33" s="68" t="str">
        <x:v>是</x:v>
      </x:c>
      <x:c r="M33" s="68" t="str">
        <x:v>["https://theorg.com/org/devon-energy/org-chart/akim-smiley","https://theorg.com/org/devon-energy/team/akim-smiley"]</x:v>
      </x:c>
      <x:c r="N33" s="68" t="str"/>
      <x:c r="O33" s="74"/>
      <x:c r="P33" s="68" t="str">
        <x:v>READY</x:v>
      </x:c>
      <x:c r="Q33" s="68" t="str">
        <x:v>CANDIDATE_VALUE_EMPTY</x:v>
      </x:c>
      <x:c r="R33" s="69" t="str">
        <x:f>IF(O33&lt;&gt;"","是","否")</x:f>
        <x:v>否</x:v>
      </x:c>
    </x:row>
    <x:row r="34">
      <x:c r="A34" s="67" t="str">
        <x:v>case-003</x:v>
      </x:c>
      <x:c r="B34" s="68" t="str">
        <x:v>Akim Smiley</x:v>
      </x:c>
      <x:c r="C34" s="68" t="str">
        <x:v>report_818b79c9a1fb3e7db6a1ac15_candidate_1</x:v>
      </x:c>
      <x:c r="D34" s="68" t="n">
        <x:v>1</x:v>
      </x:c>
      <x:c r="E34" s="68" t="str">
        <x:v>Photos</x:v>
      </x:c>
      <x:c r="F34" s="68" t="str">
        <x:v>photos_status</x:v>
      </x:c>
      <x:c r="G34" s="68" t="str">
        <x:v>Photos Status</x:v>
      </x:c>
      <x:c r="H34" s="68" t="str">
        <x:v>photos_status</x:v>
      </x:c>
      <x:c r="I34" s="68" t="str">
        <x:v>否</x:v>
      </x:c>
      <x:c r="J34" s="68" t="str">
        <x:v>否</x:v>
      </x:c>
      <x:c r="K34" s="68" t="str">
        <x:v>normalized_text</x:v>
      </x:c>
      <x:c r="L34" s="68" t="str">
        <x:v>否</x:v>
      </x:c>
      <x:c r="M34" s="68" t="str"/>
      <x:c r="N34" s="68" t="str">
        <x:v>empty</x:v>
      </x:c>
      <x:c r="O34" s="74"/>
      <x:c r="P34" s="68" t="str"/>
      <x:c r="Q34" s="68" t="str"/>
      <x:c r="R34" s="69" t="str">
        <x:f>IF(O34&lt;&gt;"","是","否")</x:f>
        <x:v>否</x:v>
      </x:c>
    </x:row>
    <x:row r="35">
      <x:c r="A35" s="67" t="str">
        <x:v>case-003</x:v>
      </x:c>
      <x:c r="B35" s="68" t="str">
        <x:v>Akim Smiley</x:v>
      </x:c>
      <x:c r="C35" s="68" t="str">
        <x:v>report_818b79c9a1fb3e7db6a1ac15_candidate_1</x:v>
      </x:c>
      <x:c r="D35" s="68" t="n">
        <x:v>1</x:v>
      </x:c>
      <x:c r="E35" s="68" t="str">
        <x:v>Photos</x:v>
      </x:c>
      <x:c r="F35" s="68" t="str">
        <x:v>photos_authenticity_photos</x:v>
      </x:c>
      <x:c r="G35" s="68" t="str">
        <x:v>Authenticity Photos</x:v>
      </x:c>
      <x:c r="H35" s="68" t="str">
        <x:v>photos_authenticity_photos</x:v>
      </x:c>
      <x:c r="I35" s="68" t="str">
        <x:v>否</x:v>
      </x:c>
      <x:c r="J35" s="68" t="str">
        <x:v>否</x:v>
      </x:c>
      <x:c r="K35" s="68" t="str">
        <x:v>set</x:v>
      </x:c>
      <x:c r="L35" s="68" t="str">
        <x:v>否</x:v>
      </x:c>
      <x:c r="M35" s="68" t="str"/>
      <x:c r="N35" s="68" t="str"/>
      <x:c r="O35" s="74"/>
      <x:c r="P35" s="68" t="str"/>
      <x:c r="Q35" s="68" t="str"/>
      <x:c r="R35" s="69" t="str">
        <x:f>IF(O35&lt;&gt;"","是","否")</x:f>
        <x:v>否</x:v>
      </x:c>
    </x:row>
    <x:row r="36">
      <x:c r="A36" s="67" t="str">
        <x:v>case-003</x:v>
      </x:c>
      <x:c r="B36" s="68" t="str">
        <x:v>Akim Smiley</x:v>
      </x:c>
      <x:c r="C36" s="68" t="str">
        <x:v>report_818b79c9a1fb3e7db6a1ac15_candidate_1</x:v>
      </x:c>
      <x:c r="D36" s="68" t="n">
        <x:v>1</x:v>
      </x:c>
      <x:c r="E36" s="68" t="str">
        <x:v>Photos</x:v>
      </x:c>
      <x:c r="F36" s="68" t="str">
        <x:v>photos_baseline_photo_url</x:v>
      </x:c>
      <x:c r="G36" s="68" t="str">
        <x:v>Baseline Photo URL</x:v>
      </x:c>
      <x:c r="H36" s="68" t="str">
        <x:v>photos_baseline_photo_url</x:v>
      </x:c>
      <x:c r="I36" s="68" t="str">
        <x:v>是</x:v>
      </x:c>
      <x:c r="J36" s="68" t="str">
        <x:v>是</x:v>
      </x:c>
      <x:c r="K36" s="68" t="str">
        <x:v>url_set</x:v>
      </x:c>
      <x:c r="L36" s="68" t="str">
        <x:v>是</x:v>
      </x:c>
      <x:c r="M36" s="68" t="str">
        <x:v>https://kg.diffbot.com/image/api/get?fetch=yes&amp;urls=g%3Cj7P0Stn8p.%5DjEp9G.Bd%7Bks4mRO5O%2F-h%5CW%7D-Ze%5EN-CgNj-gzCoEWpUp7R%60zN_%3Cb4E.A%5Dm</x:v>
      </x:c>
      <x:c r="N36" s="68" t="str"/>
      <x:c r="O36" s="74"/>
      <x:c r="P36" s="68" t="str">
        <x:v>READY</x:v>
      </x:c>
      <x:c r="Q36" s="68" t="str">
        <x:v>CANDIDATE_VALUE_EMPTY</x:v>
      </x:c>
      <x:c r="R36" s="69" t="str">
        <x:f>IF(O36&lt;&gt;"","是","否")</x:f>
        <x:v>否</x:v>
      </x:c>
    </x:row>
    <x:row r="37">
      <x:c r="A37" s="67" t="str">
        <x:v>case-003</x:v>
      </x:c>
      <x:c r="B37" s="68" t="str">
        <x:v>Akim Smiley</x:v>
      </x:c>
      <x:c r="C37" s="68" t="str">
        <x:v>report_818b79c9a1fb3e7db6a1ac15_candidate_1</x:v>
      </x:c>
      <x:c r="D37" s="68" t="n">
        <x:v>1</x:v>
      </x:c>
      <x:c r="E37" s="68" t="str">
        <x:v>Photos</x:v>
      </x:c>
      <x:c r="F37" s="68" t="str">
        <x:v>photos_identity_match_rate</x:v>
      </x:c>
      <x:c r="G37" s="68" t="str">
        <x:v>Photo Identity Match Rate</x:v>
      </x:c>
      <x:c r="H37" s="68" t="str">
        <x:v>photos_identity_match_rate</x:v>
      </x:c>
      <x:c r="I37" s="68" t="str">
        <x:v>是</x:v>
      </x:c>
      <x:c r="J37" s="68" t="str">
        <x:v>是</x:v>
      </x:c>
      <x:c r="K37" s="68" t="str">
        <x:v>exact</x:v>
      </x:c>
      <x:c r="L37" s="68" t="str">
        <x:v>否</x:v>
      </x:c>
      <x:c r="M37" s="68" t="str"/>
      <x:c r="N37" s="68" t="str"/>
      <x:c r="O37" s="74"/>
      <x:c r="P37" s="68" t="str">
        <x:v>NOT_APPLICABLE</x:v>
      </x:c>
      <x:c r="Q37" s="68" t="str">
        <x:v>BASELINE_FIELD_UNAVAILABLE</x:v>
      </x:c>
      <x:c r="R37" s="69" t="str">
        <x:f>IF(O37&lt;&gt;"","是","否")</x:f>
        <x:v>否</x:v>
      </x:c>
    </x:row>
    <x:row r="38">
      <x:c r="A38" s="67" t="str">
        <x:v>case-003</x:v>
      </x:c>
      <x:c r="B38" s="68" t="str">
        <x:v>Akim Smiley</x:v>
      </x:c>
      <x:c r="C38" s="68" t="str">
        <x:v>report_818b79c9a1fb3e7db6a1ac15_candidate_1</x:v>
      </x:c>
      <x:c r="D38" s="68" t="n">
        <x:v>1</x:v>
      </x:c>
      <x:c r="E38" s="68" t="str">
        <x:v>Photos</x:v>
      </x:c>
      <x:c r="F38" s="68" t="str">
        <x:v>photos_match_photos</x:v>
      </x:c>
      <x:c r="G38" s="68" t="str">
        <x:v>Match Photos</x:v>
      </x:c>
      <x:c r="H38" s="68" t="str">
        <x:v>photos_match_photos</x:v>
      </x:c>
      <x:c r="I38" s="68" t="str">
        <x:v>否</x:v>
      </x:c>
      <x:c r="J38" s="68" t="str">
        <x:v>否</x:v>
      </x:c>
      <x:c r="K38" s="68" t="str">
        <x:v>set</x:v>
      </x:c>
      <x:c r="L38" s="68" t="str">
        <x:v>否</x:v>
      </x:c>
      <x:c r="M38" s="68" t="str"/>
      <x:c r="N38" s="68" t="str"/>
      <x:c r="O38" s="74"/>
      <x:c r="P38" s="68" t="str"/>
      <x:c r="Q38" s="68" t="str"/>
      <x:c r="R38" s="69" t="str">
        <x:f>IF(O38&lt;&gt;"","是","否")</x:f>
        <x:v>否</x:v>
      </x:c>
    </x:row>
    <x:row r="39">
      <x:c r="A39" s="67" t="str">
        <x:v>case-003</x:v>
      </x:c>
      <x:c r="B39" s="68" t="str">
        <x:v>Akim Smiley</x:v>
      </x:c>
      <x:c r="C39" s="68" t="str">
        <x:v>report_818b79c9a1fb3e7db6a1ac15_candidate_1</x:v>
      </x:c>
      <x:c r="D39" s="68" t="n">
        <x:v>1</x:v>
      </x:c>
      <x:c r="E39" s="68" t="str">
        <x:v>Profile</x:v>
      </x:c>
      <x:c r="F39" s="68" t="str">
        <x:v>profile_status</x:v>
      </x:c>
      <x:c r="G39" s="68" t="str">
        <x:v>Profile Status</x:v>
      </x:c>
      <x:c r="H39" s="68" t="str">
        <x:v>profile_status</x:v>
      </x:c>
      <x:c r="I39" s="68" t="str">
        <x:v>否</x:v>
      </x:c>
      <x:c r="J39" s="68" t="str">
        <x:v>否</x:v>
      </x:c>
      <x:c r="K39" s="68" t="str">
        <x:v>normalized_text</x:v>
      </x:c>
      <x:c r="L39" s="68" t="str">
        <x:v>否</x:v>
      </x:c>
      <x:c r="M39" s="68" t="str"/>
      <x:c r="N39" s="68" t="str">
        <x:v>data</x:v>
      </x:c>
      <x:c r="O39" s="74"/>
      <x:c r="P39" s="68" t="str"/>
      <x:c r="Q39" s="68" t="str"/>
      <x:c r="R39" s="69" t="str">
        <x:f>IF(O39&lt;&gt;"","是","否")</x:f>
        <x:v>否</x:v>
      </x:c>
    </x:row>
    <x:row r="40">
      <x:c r="A40" s="67" t="str">
        <x:v>case-003</x:v>
      </x:c>
      <x:c r="B40" s="68" t="str">
        <x:v>Akim Smiley</x:v>
      </x:c>
      <x:c r="C40" s="68" t="str">
        <x:v>report_818b79c9a1fb3e7db6a1ac15_candidate_1</x:v>
      </x:c>
      <x:c r="D40" s="68" t="n">
        <x:v>1</x:v>
      </x:c>
      <x:c r="E40" s="68" t="str">
        <x:v>Profile</x:v>
      </x:c>
      <x:c r="F40" s="68" t="str">
        <x:v>profile_full_name</x:v>
      </x:c>
      <x:c r="G40" s="68" t="str">
        <x:v>Profile Full Name</x:v>
      </x:c>
      <x:c r="H40" s="68" t="str">
        <x:v>profile_full_name</x:v>
      </x:c>
      <x:c r="I40" s="68" t="str">
        <x:v>是</x:v>
      </x:c>
      <x:c r="J40" s="68" t="str">
        <x:v>是</x:v>
      </x:c>
      <x:c r="K40" s="68" t="str">
        <x:v>normalized_text</x:v>
      </x:c>
      <x:c r="L40" s="68" t="str">
        <x:v>否</x:v>
      </x:c>
      <x:c r="M40" s="68" t="str"/>
      <x:c r="N40" s="68" t="str">
        <x:v>Akim Smiley</x:v>
      </x:c>
      <x:c r="O40" s="74"/>
      <x:c r="P40" s="68" t="str">
        <x:v>NOT_APPLICABLE</x:v>
      </x:c>
      <x:c r="Q40" s="68" t="str">
        <x:v>BASELINE_FIELD_UNAVAILABLE</x:v>
      </x:c>
      <x:c r="R40" s="69" t="str">
        <x:f>IF(O40&lt;&gt;"","是","否")</x:f>
        <x:v>否</x:v>
      </x:c>
    </x:row>
    <x:row r="41">
      <x:c r="A41" s="67" t="str">
        <x:v>case-003</x:v>
      </x:c>
      <x:c r="B41" s="68" t="str">
        <x:v>Akim Smiley</x:v>
      </x:c>
      <x:c r="C41" s="68" t="str">
        <x:v>report_818b79c9a1fb3e7db6a1ac15_candidate_1</x:v>
      </x:c>
      <x:c r="D41" s="68" t="n">
        <x:v>1</x:v>
      </x:c>
      <x:c r="E41" s="68" t="str">
        <x:v>Profile</x:v>
      </x:c>
      <x:c r="F41" s="68" t="str">
        <x:v>profile_age</x:v>
      </x:c>
      <x:c r="G41" s="68" t="str">
        <x:v>Profile Age</x:v>
      </x:c>
      <x:c r="H41" s="68" t="str">
        <x:v>profile_age</x:v>
      </x:c>
      <x:c r="I41" s="68" t="str">
        <x:v>是</x:v>
      </x:c>
      <x:c r="J41" s="68" t="str">
        <x:v>是</x:v>
      </x:c>
      <x:c r="K41" s="68" t="str">
        <x:v>exact</x:v>
      </x:c>
      <x:c r="L41" s="68" t="str">
        <x:v>否</x:v>
      </x:c>
      <x:c r="M41" s="68" t="str"/>
      <x:c r="N41" s="68" t="str"/>
      <x:c r="O41" s="74"/>
      <x:c r="P41" s="68" t="str">
        <x:v>NOT_APPLICABLE</x:v>
      </x:c>
      <x:c r="Q41" s="68" t="str">
        <x:v>BASELINE_FIELD_UNAVAILABLE</x:v>
      </x:c>
      <x:c r="R41" s="69" t="str">
        <x:f>IF(O41&lt;&gt;"","是","否")</x:f>
        <x:v>否</x:v>
      </x:c>
    </x:row>
    <x:row r="42">
      <x:c r="A42" s="67" t="str">
        <x:v>case-003</x:v>
      </x:c>
      <x:c r="B42" s="68" t="str">
        <x:v>Akim Smiley</x:v>
      </x:c>
      <x:c r="C42" s="68" t="str">
        <x:v>report_818b79c9a1fb3e7db6a1ac15_candidate_1</x:v>
      </x:c>
      <x:c r="D42" s="68" t="n">
        <x:v>1</x:v>
      </x:c>
      <x:c r="E42" s="68" t="str">
        <x:v>Profile</x:v>
      </x:c>
      <x:c r="F42" s="68" t="str">
        <x:v>profile_location</x:v>
      </x:c>
      <x:c r="G42" s="68" t="str">
        <x:v>Profile Location</x:v>
      </x:c>
      <x:c r="H42" s="68" t="str">
        <x:v>profile_location</x:v>
      </x:c>
      <x:c r="I42" s="68" t="str">
        <x:v>是</x:v>
      </x:c>
      <x:c r="J42" s="68" t="str">
        <x:v>是</x:v>
      </x:c>
      <x:c r="K42" s="68" t="str">
        <x:v>semantic_text_lite</x:v>
      </x:c>
      <x:c r="L42" s="68" t="str">
        <x:v>否</x:v>
      </x:c>
      <x:c r="M42" s="68" t="str"/>
      <x:c r="N42" s="68" t="str">
        <x:v>Oklahoma City, Oklahoma, United States</x:v>
      </x:c>
      <x:c r="O42" s="74"/>
      <x:c r="P42" s="68" t="str">
        <x:v>NOT_APPLICABLE</x:v>
      </x:c>
      <x:c r="Q42" s="68" t="str">
        <x:v>BASELINE_FIELD_UNAVAILABLE</x:v>
      </x:c>
      <x:c r="R42" s="69" t="str">
        <x:f>IF(O42&lt;&gt;"","是","否")</x:f>
        <x:v>否</x:v>
      </x:c>
    </x:row>
    <x:row r="43">
      <x:c r="A43" s="67" t="str">
        <x:v>case-003</x:v>
      </x:c>
      <x:c r="B43" s="68" t="str">
        <x:v>Akim Smiley</x:v>
      </x:c>
      <x:c r="C43" s="68" t="str">
        <x:v>report_818b79c9a1fb3e7db6a1ac15_candidate_1</x:v>
      </x:c>
      <x:c r="D43" s="68" t="n">
        <x:v>1</x:v>
      </x:c>
      <x:c r="E43" s="68" t="str">
        <x:v>Profile</x:v>
      </x:c>
      <x:c r="F43" s="68" t="str">
        <x:v>profile_jobs</x:v>
      </x:c>
      <x:c r="G43" s="68" t="str">
        <x:v>Profile Current Role</x:v>
      </x:c>
      <x:c r="H43" s="68" t="str">
        <x:v>profile_jobs</x:v>
      </x:c>
      <x:c r="I43" s="68" t="str">
        <x:v>是</x:v>
      </x:c>
      <x:c r="J43" s="68" t="str">
        <x:v>是</x:v>
      </x:c>
      <x:c r="K43" s="68" t="str">
        <x:v>semantic_text_lite</x:v>
      </x:c>
      <x:c r="L43" s="68" t="str">
        <x:v>否</x:v>
      </x:c>
      <x:c r="M43" s="68" t="str"/>
      <x:c r="N43" s="68" t="str">
        <x:v>["Ai &amp; Data Integration Developer at Devon Energy"]</x:v>
      </x:c>
      <x:c r="O43" s="74"/>
      <x:c r="P43" s="68" t="str">
        <x:v>NOT_APPLICABLE</x:v>
      </x:c>
      <x:c r="Q43" s="68" t="str">
        <x:v>BASELINE_FIELD_UNAVAILABLE</x:v>
      </x:c>
      <x:c r="R43" s="69" t="str">
        <x:f>IF(O43&lt;&gt;"","是","否")</x:f>
        <x:v>否</x:v>
      </x:c>
    </x:row>
    <x:row r="44">
      <x:c r="A44" s="67" t="str">
        <x:v>case-003</x:v>
      </x:c>
      <x:c r="B44" s="68" t="str">
        <x:v>Akim Smiley</x:v>
      </x:c>
      <x:c r="C44" s="68" t="str">
        <x:v>report_818b79c9a1fb3e7db6a1ac15_candidate_1</x:v>
      </x:c>
      <x:c r="D44" s="68" t="n">
        <x:v>1</x:v>
      </x:c>
      <x:c r="E44" s="68" t="str">
        <x:v>Profile</x:v>
      </x:c>
      <x:c r="F44" s="68" t="str">
        <x:v>profile_education</x:v>
      </x:c>
      <x:c r="G44" s="68" t="str">
        <x:v>Profile Education</x:v>
      </x:c>
      <x:c r="H44" s="68" t="str">
        <x:v>profile_education</x:v>
      </x:c>
      <x:c r="I44" s="68" t="str">
        <x:v>是</x:v>
      </x:c>
      <x:c r="J44" s="68" t="str">
        <x:v>是</x:v>
      </x:c>
      <x:c r="K44" s="68" t="str">
        <x:v>semantic_text_lite</x:v>
      </x:c>
      <x:c r="L44" s="68" t="str">
        <x:v>否</x:v>
      </x:c>
      <x:c r="M44" s="68" t="str"/>
      <x:c r="N44" s="68" t="str">
        <x:v>University of Central Oklahoma Bachelor of Business Administration Bachelors</x:v>
      </x:c>
      <x:c r="O44" s="74"/>
      <x:c r="P44" s="68" t="str">
        <x:v>NOT_APPLICABLE</x:v>
      </x:c>
      <x:c r="Q44" s="68" t="str">
        <x:v>BASELINE_FIELD_UNAVAILABLE</x:v>
      </x:c>
      <x:c r="R44" s="69" t="str">
        <x:f>IF(O44&lt;&gt;"","是","否")</x:f>
        <x:v>否</x:v>
      </x:c>
    </x:row>
    <x:row r="45">
      <x:c r="A45" s="67" t="str">
        <x:v>case-003</x:v>
      </x:c>
      <x:c r="B45" s="68" t="str">
        <x:v>Akim Smiley</x:v>
      </x:c>
      <x:c r="C45" s="68" t="str">
        <x:v>report_818b79c9a1fb3e7db6a1ac15_candidate_1</x:v>
      </x:c>
      <x:c r="D45" s="68" t="n">
        <x:v>1</x:v>
      </x:c>
      <x:c r="E45" s="68" t="str">
        <x:v>Social</x:v>
      </x:c>
      <x:c r="F45" s="68" t="str">
        <x:v>social_status</x:v>
      </x:c>
      <x:c r="G45" s="68" t="str">
        <x:v>Social Status</x:v>
      </x:c>
      <x:c r="H45" s="68" t="str">
        <x:v>social_status</x:v>
      </x:c>
      <x:c r="I45" s="68" t="str">
        <x:v>否</x:v>
      </x:c>
      <x:c r="J45" s="68" t="str">
        <x:v>否</x:v>
      </x:c>
      <x:c r="K45" s="68" t="str">
        <x:v>normalized_text</x:v>
      </x:c>
      <x:c r="L45" s="68" t="str">
        <x:v>否</x:v>
      </x:c>
      <x:c r="M45" s="68" t="str"/>
      <x:c r="N45" s="68" t="str">
        <x:v>data</x:v>
      </x:c>
      <x:c r="O45" s="74"/>
      <x:c r="P45" s="68" t="str"/>
      <x:c r="Q45" s="68" t="str"/>
      <x:c r="R45" s="69" t="str">
        <x:f>IF(O45&lt;&gt;"","是","否")</x:f>
        <x:v>否</x:v>
      </x:c>
    </x:row>
    <x:row r="46">
      <x:c r="A46" s="67" t="str">
        <x:v>case-003</x:v>
      </x:c>
      <x:c r="B46" s="68" t="str">
        <x:v>Akim Smiley</x:v>
      </x:c>
      <x:c r="C46" s="68" t="str">
        <x:v>report_818b79c9a1fb3e7db6a1ac15_candidate_1</x:v>
      </x:c>
      <x:c r="D46" s="68" t="n">
        <x:v>1</x:v>
      </x:c>
      <x:c r="E46" s="68" t="str">
        <x:v>Social</x:v>
      </x:c>
      <x:c r="F46" s="68" t="str">
        <x:v>social_private_accounts</x:v>
      </x:c>
      <x:c r="G46" s="68" t="str">
        <x:v>Private Accounts</x:v>
      </x:c>
      <x:c r="H46" s="68" t="str">
        <x:v>social_private_accounts</x:v>
      </x:c>
      <x:c r="I46" s="68" t="str">
        <x:v>是</x:v>
      </x:c>
      <x:c r="J46" s="68" t="str">
        <x:v>是</x:v>
      </x:c>
      <x:c r="K46" s="68" t="str">
        <x:v>set</x:v>
      </x:c>
      <x:c r="L46" s="68" t="str">
        <x:v>否</x:v>
      </x:c>
      <x:c r="M46" s="68" t="str"/>
      <x:c r="N46" s="68" t="str"/>
      <x:c r="O46" s="74"/>
      <x:c r="P46" s="68" t="str">
        <x:v>NOT_APPLICABLE</x:v>
      </x:c>
      <x:c r="Q46" s="68" t="str">
        <x:v>BASELINE_FIELD_UNAVAILABLE</x:v>
      </x:c>
      <x:c r="R46" s="69" t="str">
        <x:f>IF(O46&lt;&gt;"","是","否")</x:f>
        <x:v>否</x:v>
      </x:c>
    </x:row>
    <x:row r="47">
      <x:c r="A47" s="67" t="str">
        <x:v>case-003</x:v>
      </x:c>
      <x:c r="B47" s="68" t="str">
        <x:v>Akim Smiley</x:v>
      </x:c>
      <x:c r="C47" s="68" t="str">
        <x:v>report_818b79c9a1fb3e7db6a1ac15_candidate_1</x:v>
      </x:c>
      <x:c r="D47" s="68" t="n">
        <x:v>1</x:v>
      </x:c>
      <x:c r="E47" s="68" t="str">
        <x:v>Social</x:v>
      </x:c>
      <x:c r="F47" s="68" t="str">
        <x:v>social_display_handles</x:v>
      </x:c>
      <x:c r="G47" s="68" t="str">
        <x:v>Social Display Handles</x:v>
      </x:c>
      <x:c r="H47" s="68" t="str">
        <x:v>social_display_handles</x:v>
      </x:c>
      <x:c r="I47" s="68" t="str">
        <x:v>否</x:v>
      </x:c>
      <x:c r="J47" s="68" t="str">
        <x:v>否</x:v>
      </x:c>
      <x:c r="K47" s="68" t="str">
        <x:v>set</x:v>
      </x:c>
      <x:c r="L47" s="68" t="str">
        <x:v>是</x:v>
      </x:c>
      <x:c r="M47" s="68" t="str">
        <x:v>["akim-smiley-624b895"]</x:v>
      </x:c>
      <x:c r="N47" s="68" t="str">
        <x:v>["akim-smiley-624b895"]</x:v>
      </x:c>
      <x:c r="O47" s="74"/>
      <x:c r="P47" s="68" t="str"/>
      <x:c r="Q47" s="68" t="str"/>
      <x:c r="R47" s="69" t="str">
        <x:f>IF(O47&lt;&gt;"","是","否")</x:f>
        <x:v>否</x:v>
      </x:c>
    </x:row>
    <x:row r="48">
      <x:c r="A48" s="67" t="str">
        <x:v>case-003</x:v>
      </x:c>
      <x:c r="B48" s="68" t="str">
        <x:v>Akim Smiley</x:v>
      </x:c>
      <x:c r="C48" s="68" t="str">
        <x:v>report_818b79c9a1fb3e7db6a1ac15_candidate_1</x:v>
      </x:c>
      <x:c r="D48" s="68" t="n">
        <x:v>1</x:v>
      </x:c>
      <x:c r="E48" s="68" t="str">
        <x:v>Social</x:v>
      </x:c>
      <x:c r="F48" s="68" t="str">
        <x:v>social_platforms</x:v>
      </x:c>
      <x:c r="G48" s="68" t="str">
        <x:v>Social Platforms</x:v>
      </x:c>
      <x:c r="H48" s="68" t="str">
        <x:v>social_platforms</x:v>
      </x:c>
      <x:c r="I48" s="68" t="str">
        <x:v>否</x:v>
      </x:c>
      <x:c r="J48" s="68" t="str">
        <x:v>否</x:v>
      </x:c>
      <x:c r="K48" s="68" t="str">
        <x:v>set</x:v>
      </x:c>
      <x:c r="L48" s="68" t="str">
        <x:v>是</x:v>
      </x:c>
      <x:c r="M48" s="68" t="str">
        <x:v>["linkedin"]</x:v>
      </x:c>
      <x:c r="N48" s="68" t="str">
        <x:v>["linkedin"]</x:v>
      </x:c>
      <x:c r="O48" s="74"/>
      <x:c r="P48" s="68" t="str"/>
      <x:c r="Q48" s="68" t="str"/>
      <x:c r="R48" s="69" t="str">
        <x:f>IF(O48&lt;&gt;"","是","否")</x:f>
        <x:v>否</x:v>
      </x:c>
    </x:row>
    <x:row r="49">
      <x:c r="A49" s="67" t="str">
        <x:v>case-003</x:v>
      </x:c>
      <x:c r="B49" s="68" t="str">
        <x:v>Akim Smiley</x:v>
      </x:c>
      <x:c r="C49" s="68" t="str">
        <x:v>report_818b79c9a1fb3e7db6a1ac15_candidate_1</x:v>
      </x:c>
      <x:c r="D49" s="68" t="n">
        <x:v>1</x:v>
      </x:c>
      <x:c r="E49" s="68" t="str">
        <x:v>Social</x:v>
      </x:c>
      <x:c r="F49" s="68" t="str">
        <x:v>social_urls</x:v>
      </x:c>
      <x:c r="G49" s="68" t="str">
        <x:v>Social URLs</x:v>
      </x:c>
      <x:c r="H49" s="68" t="str">
        <x:v>social_urls</x:v>
      </x:c>
      <x:c r="I49" s="68" t="str">
        <x:v>是</x:v>
      </x:c>
      <x:c r="J49" s="68" t="str">
        <x:v>是</x:v>
      </x:c>
      <x:c r="K49" s="68" t="str">
        <x:v>url_set</x:v>
      </x:c>
      <x:c r="L49" s="68" t="str">
        <x:v>是</x:v>
      </x:c>
      <x:c r="M49" s="68" t="str">
        <x:v>["https://linkedin.com/in/akim-smiley-624b895"]</x:v>
      </x:c>
      <x:c r="N49" s="68" t="str">
        <x:v>["https://linkedin.com/in/akim-smiley-624b895"]</x:v>
      </x:c>
      <x:c r="O49" s="74" t="n">
        <x:v>1</x:v>
      </x:c>
      <x:c r="P49" s="68" t="str">
        <x:v>READY</x:v>
      </x:c>
      <x:c r="Q49" s="68" t="str">
        <x:v>READY</x:v>
      </x:c>
      <x:c r="R49" s="69" t="str">
        <x:f>IF(O49&lt;&gt;"","是","否")</x:f>
        <x:v>是</x:v>
      </x:c>
    </x:row>
    <x:row r="50">
      <x:c r="A50" s="67" t="str">
        <x:v>case-003</x:v>
      </x:c>
      <x:c r="B50" s="68" t="str">
        <x:v>Akim Smiley</x:v>
      </x:c>
      <x:c r="C50" s="68" t="str">
        <x:v>report_818b79c9a1fb3e7db6a1ac15_candidate_1</x:v>
      </x:c>
      <x:c r="D50" s="68" t="n">
        <x:v>1</x:v>
      </x:c>
      <x:c r="E50" s="68" t="str">
        <x:v>Social</x:v>
      </x:c>
      <x:c r="F50" s="68" t="str">
        <x:v>social_usernames</x:v>
      </x:c>
      <x:c r="G50" s="68" t="str">
        <x:v>Social Usernames</x:v>
      </x:c>
      <x:c r="H50" s="68" t="str">
        <x:v>social_usernames</x:v>
      </x:c>
      <x:c r="I50" s="68" t="str">
        <x:v>否</x:v>
      </x:c>
      <x:c r="J50" s="68" t="str">
        <x:v>否</x:v>
      </x:c>
      <x:c r="K50" s="68" t="str">
        <x:v>set</x:v>
      </x:c>
      <x:c r="L50" s="68" t="str">
        <x:v>是</x:v>
      </x:c>
      <x:c r="M50" s="68" t="str">
        <x:v>["akim-smiley-624b895"]</x:v>
      </x:c>
      <x:c r="N50" s="68" t="str">
        <x:v>["akim-smiley-624b895"]</x:v>
      </x:c>
      <x:c r="O50" s="74"/>
      <x:c r="P50" s="68" t="str"/>
      <x:c r="Q50" s="68" t="str"/>
      <x:c r="R50" s="69" t="str">
        <x:f>IF(O50&lt;&gt;"","是","否")</x:f>
        <x:v>否</x:v>
      </x:c>
    </x:row>
    <x:row r="51">
      <x:c r="A51" s="67" t="str">
        <x:v>case-003</x:v>
      </x:c>
      <x:c r="B51" s="68" t="str">
        <x:v>Akim Smiley</x:v>
      </x:c>
      <x:c r="C51" s="68" t="str">
        <x:v>report_818b79c9a1fb3e7db6a1ac15_candidate_1</x:v>
      </x:c>
      <x:c r="D51" s="68" t="n">
        <x:v>1</x:v>
      </x:c>
      <x:c r="E51" s="68" t="str">
        <x:v>Summary</x:v>
      </x:c>
      <x:c r="F51" s="68" t="str">
        <x:v>summary_status</x:v>
      </x:c>
      <x:c r="G51" s="68" t="str">
        <x:v>Summary Status</x:v>
      </x:c>
      <x:c r="H51" s="68" t="str">
        <x:v>summary_status</x:v>
      </x:c>
      <x:c r="I51" s="68" t="str">
        <x:v>否</x:v>
      </x:c>
      <x:c r="J51" s="68" t="str">
        <x:v>否</x:v>
      </x:c>
      <x:c r="K51" s="68" t="str">
        <x:v>normalized_text</x:v>
      </x:c>
      <x:c r="L51" s="68" t="str">
        <x:v>否</x:v>
      </x:c>
      <x:c r="M51" s="68" t="str"/>
      <x:c r="N51" s="68" t="str">
        <x:v>data</x:v>
      </x:c>
      <x:c r="O51" s="74"/>
      <x:c r="P51" s="68" t="str"/>
      <x:c r="Q51" s="68" t="str"/>
      <x:c r="R51" s="69" t="str">
        <x:f>IF(O51&lt;&gt;"","是","否")</x:f>
        <x:v>否</x:v>
      </x:c>
    </x:row>
    <x:row r="52">
      <x:c r="A52" s="67" t="str">
        <x:v>case-003</x:v>
      </x:c>
      <x:c r="B52" s="68" t="str">
        <x:v>Akim Smiley</x:v>
      </x:c>
      <x:c r="C52" s="68" t="str">
        <x:v>report_818b79c9a1fb3e7db6a1ac15_candidate_1</x:v>
      </x:c>
      <x:c r="D52" s="68" t="n">
        <x:v>1</x:v>
      </x:c>
      <x:c r="E52" s="68" t="str">
        <x:v>Summary</x:v>
      </x:c>
      <x:c r="F52" s="68" t="str">
        <x:v>summary_avatar_url</x:v>
      </x:c>
      <x:c r="G52" s="68" t="str">
        <x:v>Summary Avatar URL</x:v>
      </x:c>
      <x:c r="H52" s="68" t="str">
        <x:v>summary_avatar_url</x:v>
      </x:c>
      <x:c r="I52" s="68" t="str">
        <x:v>否</x:v>
      </x:c>
      <x:c r="J52" s="68" t="str">
        <x:v>是</x:v>
      </x:c>
      <x:c r="K52" s="68" t="str">
        <x:v>url_set</x:v>
      </x:c>
      <x:c r="L52" s="68" t="str">
        <x:v>是</x:v>
      </x:c>
      <x:c r="M52" s="68" t="str">
        <x:v>https://kg.diffbot.com/image/api/get?fetch=yes&amp;urls=g%3Cj7P0Stn8p.%5DjEp9G.Bd%7Bks4mRO5O%2F-h%5CW%7D-Ze%5EN-CgNj-gzCoEWpUp7R%60zN_%3Cb4E.A%5Dm</x:v>
      </x:c>
      <x:c r="N52" s="68" t="str">
        <x:v>https://media.licdn.com/dms/image/v2/C5603AQE-Y-DSjnnPeQ/profile-displayphoto-shrink_200_200/profile-displayphoto-shrink_200_200/0/1660370923524?e=2147483647&amp;v=beta&amp;t=vrXUCACIQhtuc06ayfOSaBWgHQt6sjkXiFz1SWTTOnY</x:v>
      </x:c>
      <x:c r="O52" s="74"/>
      <x:c r="P52" s="68" t="str">
        <x:v>NOT_APPLICABLE</x:v>
      </x:c>
      <x:c r="Q52" s="68" t="str">
        <x:v>BASELINE_COMPARISON_DISABLED</x:v>
      </x:c>
      <x:c r="R52" s="69" t="str">
        <x:f>IF(O52&lt;&gt;"","是","否")</x:f>
        <x:v>否</x:v>
      </x:c>
    </x:row>
    <x:row r="53">
      <x:c r="A53" s="67" t="str">
        <x:v>case-003</x:v>
      </x:c>
      <x:c r="B53" s="68" t="str">
        <x:v>Akim Smiley</x:v>
      </x:c>
      <x:c r="C53" s="68" t="str">
        <x:v>report_818b79c9a1fb3e7db6a1ac15_candidate_1</x:v>
      </x:c>
      <x:c r="D53" s="68" t="n">
        <x:v>1</x:v>
      </x:c>
      <x:c r="E53" s="68" t="str">
        <x:v>Summary</x:v>
      </x:c>
      <x:c r="F53" s="68" t="str">
        <x:v>candidate_confidence</x:v>
      </x:c>
      <x:c r="G53" s="68" t="str">
        <x:v>Summary Confidence Level</x:v>
      </x:c>
      <x:c r="H53" s="68" t="str">
        <x:v>candidate_confidence</x:v>
      </x:c>
      <x:c r="I53" s="68" t="str">
        <x:v>否</x:v>
      </x:c>
      <x:c r="J53" s="68" t="str">
        <x:v>否</x:v>
      </x:c>
      <x:c r="K53" s="68" t="str">
        <x:v>normalized_text</x:v>
      </x:c>
      <x:c r="L53" s="68" t="str">
        <x:v>否</x:v>
      </x:c>
      <x:c r="M53" s="68" t="str"/>
      <x:c r="N53" s="68" t="str">
        <x:v>HIGH</x:v>
      </x:c>
      <x:c r="O53" s="74"/>
      <x:c r="P53" s="68" t="str"/>
      <x:c r="Q53" s="68" t="str"/>
      <x:c r="R53" s="69" t="str">
        <x:f>IF(O53&lt;&gt;"","是","否")</x:f>
        <x:v>否</x:v>
      </x:c>
    </x:row>
    <x:row r="54">
      <x:c r="A54" s="67" t="str">
        <x:v>case-003</x:v>
      </x:c>
      <x:c r="B54" s="68" t="str">
        <x:v>Akim Smiley</x:v>
      </x:c>
      <x:c r="C54" s="68" t="str">
        <x:v>report_818b79c9a1fb3e7db6a1ac15_candidate_1</x:v>
      </x:c>
      <x:c r="D54" s="68" t="n">
        <x:v>1</x:v>
      </x:c>
      <x:c r="E54" s="68" t="str">
        <x:v>Summary</x:v>
      </x:c>
      <x:c r="F54" s="68" t="str">
        <x:v>summary_is_best_match</x:v>
      </x:c>
      <x:c r="G54" s="68" t="str">
        <x:v>Summary Is Best Match</x:v>
      </x:c>
      <x:c r="H54" s="68" t="str">
        <x:v>summary_is_best_match</x:v>
      </x:c>
      <x:c r="I54" s="68" t="str">
        <x:v>否</x:v>
      </x:c>
      <x:c r="J54" s="68" t="str">
        <x:v>否</x:v>
      </x:c>
      <x:c r="K54" s="68" t="str">
        <x:v>exact</x:v>
      </x:c>
      <x:c r="L54" s="68" t="str">
        <x:v>否</x:v>
      </x:c>
      <x:c r="M54" s="68" t="str"/>
      <x:c r="N54" s="68" t="str">
        <x:v>false</x:v>
      </x:c>
      <x:c r="O54" s="74"/>
      <x:c r="P54" s="68" t="str"/>
      <x:c r="Q54" s="68" t="str"/>
      <x:c r="R54" s="69" t="str">
        <x:f>IF(O54&lt;&gt;"","是","否")</x:f>
        <x:v>否</x:v>
      </x:c>
    </x:row>
    <x:row r="55">
      <x:c r="A55" s="67" t="str">
        <x:v>case-003</x:v>
      </x:c>
      <x:c r="B55" s="68" t="str">
        <x:v>Akim Smiley</x:v>
      </x:c>
      <x:c r="C55" s="68" t="str">
        <x:v>report_818b79c9a1fb3e7db6a1ac15_candidate_1</x:v>
      </x:c>
      <x:c r="D55" s="68" t="n">
        <x:v>1</x:v>
      </x:c>
      <x:c r="E55" s="68" t="str">
        <x:v>Summary</x:v>
      </x:c>
      <x:c r="F55" s="68" t="str">
        <x:v>summary_is_top_result</x:v>
      </x:c>
      <x:c r="G55" s="68" t="str">
        <x:v>Summary Is Top Result</x:v>
      </x:c>
      <x:c r="H55" s="68" t="str">
        <x:v>summary_is_top_result</x:v>
      </x:c>
      <x:c r="I55" s="68" t="str">
        <x:v>否</x:v>
      </x:c>
      <x:c r="J55" s="68" t="str">
        <x:v>否</x:v>
      </x:c>
      <x:c r="K55" s="68" t="str">
        <x:v>exact</x:v>
      </x:c>
      <x:c r="L55" s="68" t="str">
        <x:v>否</x:v>
      </x:c>
      <x:c r="M55" s="68" t="str"/>
      <x:c r="N55" s="68" t="str">
        <x:v>true</x:v>
      </x:c>
      <x:c r="O55" s="74"/>
      <x:c r="P55" s="68" t="str"/>
      <x:c r="Q55" s="68" t="str"/>
      <x:c r="R55" s="69" t="str">
        <x:f>IF(O55&lt;&gt;"","是","否")</x:f>
        <x:v>否</x:v>
      </x:c>
    </x:row>
    <x:row r="56">
      <x:c r="A56" s="67" t="str">
        <x:v>case-004</x:v>
      </x:c>
      <x:c r="B56" s="68" t="str">
        <x:v>Satya Nadella</x:v>
      </x:c>
      <x:c r="C56" s="68" t="str">
        <x:v>public_figure:Q7426870</x:v>
      </x:c>
      <x:c r="D56" s="68" t="n">
        <x:v>1</x:v>
      </x:c>
      <x:c r="E56" s="68" t="str">
        <x:v>Insights</x:v>
      </x:c>
      <x:c r="F56" s="68" t="str">
        <x:v>insights_status</x:v>
      </x:c>
      <x:c r="G56" s="68" t="str">
        <x:v>Insights Status</x:v>
      </x:c>
      <x:c r="H56" s="68" t="str">
        <x:v>insights_status</x:v>
      </x:c>
      <x:c r="I56" s="68" t="str">
        <x:v>否</x:v>
      </x:c>
      <x:c r="J56" s="68" t="str">
        <x:v>否</x:v>
      </x:c>
      <x:c r="K56" s="68" t="str">
        <x:v>normalized_text</x:v>
      </x:c>
      <x:c r="L56" s="68" t="str">
        <x:v>否</x:v>
      </x:c>
      <x:c r="M56" s="68" t="str"/>
      <x:c r="N56" s="68" t="str">
        <x:v>data</x:v>
      </x:c>
      <x:c r="O56" s="74"/>
      <x:c r="P56" s="68" t="str"/>
      <x:c r="Q56" s="68" t="str"/>
      <x:c r="R56" s="69" t="str">
        <x:f>IF(O56&lt;&gt;"","是","否")</x:f>
        <x:v>否</x:v>
      </x:c>
    </x:row>
    <x:row r="57">
      <x:c r="A57" s="67" t="str">
        <x:v>case-004</x:v>
      </x:c>
      <x:c r="B57" s="68" t="str">
        <x:v>Satya Nadella</x:v>
      </x:c>
      <x:c r="C57" s="68" t="str">
        <x:v>public_figure:Q7426870</x:v>
      </x:c>
      <x:c r="D57" s="68" t="n">
        <x:v>1</x:v>
      </x:c>
      <x:c r="E57" s="68" t="str">
        <x:v>Insights</x:v>
      </x:c>
      <x:c r="F57" s="68" t="str">
        <x:v>insights_items</x:v>
      </x:c>
      <x:c r="G57" s="68" t="str">
        <x:v>Insights Items</x:v>
      </x:c>
      <x:c r="H57" s="68" t="str">
        <x:v>insights_items</x:v>
      </x:c>
      <x:c r="I57" s="68" t="str">
        <x:v>否</x:v>
      </x:c>
      <x:c r="J57" s="68" t="str">
        <x:v>否</x:v>
      </x:c>
      <x:c r="K57" s="68" t="str">
        <x:v>set</x:v>
      </x:c>
      <x:c r="L57" s="68" t="str">
        <x:v>否</x:v>
      </x:c>
      <x:c r="M57" s="68" t="str"/>
      <x:c r="N57" s="68" t="str">
        <x:v>[{"description":"Satya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platforms.","details":{"summary":"Satya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platforms.","wikidata_id":"Q7426870","wikipedia_url":"https://en.wikipedia.org/wiki/Satya_Nadella"},"evidence_id":"public_figure_highlights_Q7426870","links":[{"platform":"","title":"Public source","type":"web","url":"https://en.wikipedia.org/wiki/Satya_Nadella"},{"platform":"","title":"Public source","type":"web","url":"https://www.wikidata.org/wiki/Q7426870"},{"platform":"","title":"Public source","type":"web","url":"https://news.microsoft.com/exec/satya-nadella/"}],"match_type":"","reason":"Satya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platforms.","source":"public_figure","source_platforms":[],"title":"Major Highlights","type":"major_highlights","url":"https://en.wikipedia.org/wiki/Satya_Nadella"}]</x:v>
      </x:c>
      <x:c r="O57" s="74"/>
      <x:c r="P57" s="68" t="str"/>
      <x:c r="Q57" s="68" t="str"/>
      <x:c r="R57" s="69" t="str">
        <x:f>IF(O57&lt;&gt;"","是","否")</x:f>
        <x:v>否</x:v>
      </x:c>
    </x:row>
    <x:row r="58">
      <x:c r="A58" s="67" t="str">
        <x:v>case-004</x:v>
      </x:c>
      <x:c r="B58" s="68" t="str">
        <x:v>Satya Nadella</x:v>
      </x:c>
      <x:c r="C58" s="68" t="str">
        <x:v>public_figure:Q7426870</x:v>
      </x:c>
      <x:c r="D58" s="68" t="n">
        <x:v>1</x:v>
      </x:c>
      <x:c r="E58" s="68" t="str">
        <x:v>Insights</x:v>
      </x:c>
      <x:c r="F58" s="68" t="str">
        <x:v>insights_description</x:v>
      </x:c>
      <x:c r="G58" s="68" t="str">
        <x:v>Insights Description</x:v>
      </x:c>
      <x:c r="H58" s="68" t="str">
        <x:v>insights_description</x:v>
      </x:c>
      <x:c r="I58" s="68" t="str">
        <x:v>是</x:v>
      </x:c>
      <x:c r="J58" s="68" t="str">
        <x:v>是</x:v>
      </x:c>
      <x:c r="K58" s="68" t="str">
        <x:v>semantic_text_lite</x:v>
      </x:c>
      <x:c r="L58" s="68" t="str">
        <x:v>是</x:v>
      </x:c>
      <x:c r="M58" s="68" t="str">
        <x:v>["Satya Nadella is the Chairman and CEO of Microsoft, a role held since February 2014. In addition to this leadership position, Satya serves as a member of the Board of Trustees at the University of Chicago since 2018 and has been a board member at Starbucks from 2017 to 2024. Satya held the position of Chairman at The Business Council U.S. from 2021 to 2023 and served as a board member for Fred Hutch from 2016 to 2022. Educational qualifications include a Bachelor's Degree in Electrical Engineering from Manipal Institute of Technology, a Master's Degree in Computer Science from the University of Wisconsin-Milwaukee, and an MBA from The University of Chicago Booth School of Business, where studies were completed from 1994 to 1996."]</x:v>
      </x:c>
      <x:c r="N58" s="68" t="str">
        <x:v>["Satya Narayana Nadella is an Indian-American business executive. He is the chairman and chief executive officer (CEO) of Microsoft, succeeding Steve Ballmer in 2014 as CEO and John W. Thompson in 2021 as chairman. Before becoming CEO, he was the executive vice president of Microsoft's cloud and enterprise group, responsible for building and running the company's computing platforms."]</x:v>
      </x:c>
      <x:c r="O58" s="74" t="n">
        <x:v>0.17</x:v>
      </x:c>
      <x:c r="P58" s="68" t="str">
        <x:v>WARNING</x:v>
      </x:c>
      <x:c r="Q58" s="68" t="str">
        <x:v>BELOW_SIMILARITY_THRESHOLD</x:v>
      </x:c>
      <x:c r="R58" s="69" t="str">
        <x:f>IF(O58&lt;&gt;"","是","否")</x:f>
        <x:v>是</x:v>
      </x:c>
    </x:row>
    <x:row r="59">
      <x:c r="A59" s="67" t="str">
        <x:v>case-004</x:v>
      </x:c>
      <x:c r="B59" s="68" t="str">
        <x:v>Satya Nadella</x:v>
      </x:c>
      <x:c r="C59" s="68" t="str">
        <x:v>public_figure:Q7426870</x:v>
      </x:c>
      <x:c r="D59" s="68" t="n">
        <x:v>1</x:v>
      </x:c>
      <x:c r="E59" s="68" t="str">
        <x:v>Insights</x:v>
      </x:c>
      <x:c r="F59" s="68" t="str">
        <x:v>insights_links</x:v>
      </x:c>
      <x:c r="G59" s="68" t="str">
        <x:v>Insights Links</x:v>
      </x:c>
      <x:c r="H59" s="68" t="str">
        <x:v>insights_links</x:v>
      </x:c>
      <x:c r="I59" s="68" t="str">
        <x:v>是</x:v>
      </x:c>
      <x:c r="J59" s="68" t="str">
        <x:v>是</x:v>
      </x:c>
      <x:c r="K59" s="68" t="str">
        <x:v>set</x:v>
      </x:c>
      <x:c r="L59" s="68" t="str">
        <x:v>是</x:v>
      </x:c>
      <x:c r="M59" s="68" t="str">
        <x:v>["https://bloomberg.com/profile/person/3224315","https://bloomberg.com/research/stocks/people/person.asp?personId=1540690","https://celebritynetworth.com/richest-businessmen/ceos/satya-nadella-net-worth","https://crunchbase.com/person/satya-nadella","https://imdb.com/name/nm8202665","https://quora.com/profile/Amit-Kumar-2422","https://slideshare.net/satyanadella1","https://theorg.com/org/starbucks/org-chart/satya-nadella","https://theorg.com/org/starbucks/team/satya-nadella","https://theorg.com/org/fred-hutch/org-chart/satya-nadella","https://theorg.com/org/fred-hutch/team/satya-nadella","https://theorg.com/org/the-university-of-chicago/org-chart/satya-nadella-1","https://theorg.com/org/the-university-of-chicago/team/satya-nadella-1","https://theorg.com/org/the-university-of-chicago/org-chart/satya-nadella","https://theorg.com/org/the-university-of-chicago/team/satya-nadella","https://theorg.com/org/microsoft/org-chart/satya-nadella","https://theorg.com/org/microsoft/team/satya-nadella","https://wikidata.org/entity/Q7426870","https://wikidata.org/entity/Q18361427","https://en.wikipedia.org/?curid=38309941","https://en.wikipedia.org/wiki/Satya_Nadella","https://dbpedia.org/page/Satya_Nadella","https://dbpedia.org/resource/Satya_Nadella","https://cn.linkedin.com/in/satya-nadella-b428ab186","https://news.microsoft.com/exec/satya-nadella","https://t.co/UMBNtf23la","https://microsoft.com/ceo","https://d-nb.info/gnd/1148557989","https://viaf.org/viaf/317106370","https://g.co/kg/m/0q40xjj","https://amazon.com/wd/e/B072YR2LJP","https://adria.ign.com/satya-nadella","https://biyografiler.com/en/biography/satya-nadella","https://bornglorious.com/person/?pi=7426870","https://build.microsoft.com/en-US/speakers/2f4c421e-637f-4a3d-9ae4-cf7b0a50a0ca","https://businessroundtable.org/about-us/members/satya-nadella","https://cnbc.com/satya-nadella","https://cryptoslate.com/people/satya-nadella","https://factspodium.com/satya-nadella","https://indiaspora.org/business-leader/satya-nadella-2","https://insidertrades.com/microsoft-co-stock/satya-nadella","https://lp.usercv.com/biography/satyanadella","https://manufacturingdigital.com/executive/satya-nadella","https://metaunfolded.com/satya-nadella","https://moneysnoop.com/profile/384-satya-nadella","https://news.microsoft.com/source/exec/satya-nadella","https://realtimebillionaires.de/profile/satya-nadella","https://sea.ign.com/satya-nadella","https://service-now.com.tr/?satyanadella","https://servicetoamericamedals.org/honorees/satya-nadella","https://signal.nfx.com/investors/satya-nadella","https://signal.twilio.com/2025/speaker/1524692/satya-nadella","https://stockst.com/stocks/20","https://thenetwork.com/profile/satya-nadella-300bf8e0","https://trendingcelebs.org/satya-nadella","https://uscis.gov/citizenship-resource-center/learn-about-citizenship/outstanding-americans-by-choice/satya-nadella-chairman-chief-executive-officer-microsoft","https://usercv.com/biography/satyanadella","https://weforum.org/stories/authors/satya-nadella"]</x:v>
      </x:c>
      <x:c r="N59" s="68" t="str">
        <x:v>[[{"platform":"","title":"Public source","type":"web","url":"https://en.wikipedia.org/wiki/Satya_Nadella"},{"platform":"","title":"Public source","type":"web","url":"https://www.wikidata.org/wiki/Q7426870"},{"platform":"","title":"Public source","type":"web","url":"https://news.microsoft.com/exec/satya-nadella/"}]]</x:v>
      </x:c>
      <x:c r="O59" s="74" t="n">
        <x:v>0</x:v>
      </x:c>
      <x:c r="P59" s="68" t="str">
        <x:v>READY</x:v>
      </x:c>
      <x:c r="Q59" s="68" t="str">
        <x:v>READY</x:v>
      </x:c>
      <x:c r="R59" s="69" t="str">
        <x:f>IF(O59&lt;&gt;"","是","否")</x:f>
        <x:v>否</x:v>
      </x:c>
    </x:row>
    <x:row r="60">
      <x:c r="A60" s="67" t="str">
        <x:v>case-004</x:v>
      </x:c>
      <x:c r="B60" s="68" t="str">
        <x:v>Satya Nadella</x:v>
      </x:c>
      <x:c r="C60" s="68" t="str">
        <x:v>public_figure:Q7426870</x:v>
      </x:c>
      <x:c r="D60" s="68" t="n">
        <x:v>1</x:v>
      </x:c>
      <x:c r="E60" s="68" t="str">
        <x:v>Photos</x:v>
      </x:c>
      <x:c r="F60" s="68" t="str">
        <x:v>photos_status</x:v>
      </x:c>
      <x:c r="G60" s="68" t="str">
        <x:v>Photos Status</x:v>
      </x:c>
      <x:c r="H60" s="68" t="str">
        <x:v>photos_status</x:v>
      </x:c>
      <x:c r="I60" s="68" t="str">
        <x:v>否</x:v>
      </x:c>
      <x:c r="J60" s="68" t="str">
        <x:v>否</x:v>
      </x:c>
      <x:c r="K60" s="68" t="str">
        <x:v>normalized_text</x:v>
      </x:c>
      <x:c r="L60" s="68" t="str">
        <x:v>否</x:v>
      </x:c>
      <x:c r="M60" s="68" t="str"/>
      <x:c r="N60" s="68" t="str">
        <x:v>empty</x:v>
      </x:c>
      <x:c r="O60" s="74"/>
      <x:c r="P60" s="68" t="str"/>
      <x:c r="Q60" s="68" t="str"/>
      <x:c r="R60" s="69" t="str">
        <x:f>IF(O60&lt;&gt;"","是","否")</x:f>
        <x:v>否</x:v>
      </x:c>
    </x:row>
    <x:row r="61">
      <x:c r="A61" s="67" t="str">
        <x:v>case-004</x:v>
      </x:c>
      <x:c r="B61" s="68" t="str">
        <x:v>Satya Nadella</x:v>
      </x:c>
      <x:c r="C61" s="68" t="str">
        <x:v>public_figure:Q7426870</x:v>
      </x:c>
      <x:c r="D61" s="68" t="n">
        <x:v>1</x:v>
      </x:c>
      <x:c r="E61" s="68" t="str">
        <x:v>Photos</x:v>
      </x:c>
      <x:c r="F61" s="68" t="str">
        <x:v>photos_authenticity_photos</x:v>
      </x:c>
      <x:c r="G61" s="68" t="str">
        <x:v>Authenticity Photos</x:v>
      </x:c>
      <x:c r="H61" s="68" t="str">
        <x:v>photos_authenticity_photos</x:v>
      </x:c>
      <x:c r="I61" s="68" t="str">
        <x:v>否</x:v>
      </x:c>
      <x:c r="J61" s="68" t="str">
        <x:v>否</x:v>
      </x:c>
      <x:c r="K61" s="68" t="str">
        <x:v>set</x:v>
      </x:c>
      <x:c r="L61" s="68" t="str">
        <x:v>否</x:v>
      </x:c>
      <x:c r="M61" s="68" t="str"/>
      <x:c r="N61" s="68" t="str"/>
      <x:c r="O61" s="74"/>
      <x:c r="P61" s="68" t="str"/>
      <x:c r="Q61" s="68" t="str"/>
      <x:c r="R61" s="69" t="str">
        <x:f>IF(O61&lt;&gt;"","是","否")</x:f>
        <x:v>否</x:v>
      </x:c>
    </x:row>
    <x:row r="62">
      <x:c r="A62" s="67" t="str">
        <x:v>case-004</x:v>
      </x:c>
      <x:c r="B62" s="68" t="str">
        <x:v>Satya Nadella</x:v>
      </x:c>
      <x:c r="C62" s="68" t="str">
        <x:v>public_figure:Q7426870</x:v>
      </x:c>
      <x:c r="D62" s="68" t="n">
        <x:v>1</x:v>
      </x:c>
      <x:c r="E62" s="68" t="str">
        <x:v>Photos</x:v>
      </x:c>
      <x:c r="F62" s="68" t="str">
        <x:v>photos_baseline_photo_url</x:v>
      </x:c>
      <x:c r="G62" s="68" t="str">
        <x:v>Baseline Photo URL</x:v>
      </x:c>
      <x:c r="H62" s="68" t="str">
        <x:v>photos_baseline_photo_url</x:v>
      </x:c>
      <x:c r="I62" s="68" t="str">
        <x:v>是</x:v>
      </x:c>
      <x:c r="J62" s="68" t="str">
        <x:v>是</x:v>
      </x:c>
      <x:c r="K62" s="68" t="str">
        <x:v>url_set</x:v>
      </x:c>
      <x:c r="L62" s="68" t="str">
        <x:v>是</x:v>
      </x:c>
      <x:c r="M62" s="68" t="str">
        <x:v>https://kg.diffbot.com/image/api/get?fetch=yes&amp;urls=g%3Cj7P0St0DnBJf.x0KwLZrUn.%5B%3CR0Aa4Hh%3B%5Bv738ZqOr7U%3FhvGv%3ErA-2%7B1%5D-%2F%5B%3C%5E%7BDg-%40gX%7E%7C-DczI-A_-Qp-P%7E%7C%28_Lj1Jm%3D%29.Pw4,g%3Cj7guSXzAoBWu.x0KwLZrUn.%5B%3CR0Aa4Hwygr9m6W%3Exl5G%60Bkxm%5Cx-aeh%2F-iB%5E%3De%7B9-zNz%5Df-fBd0-pI-sO-7P%5B%28FnIk1%3Fl%29.rVn,g%3Cj7P0SttAc%3ANu.d9U%7CB%5DpM08.%7DZnIa6%40_%3Bv2FpDLhawxEr-%5BuTpJZ%40-r%3Ec2Jh9e%3ERy%3D%60pjr8TIM%7DEitG%5EQVp</x:v>
      </x:c>
      <x:c r="N62" s="68" t="str"/>
      <x:c r="O62" s="74"/>
      <x:c r="P62" s="68" t="str">
        <x:v>READY</x:v>
      </x:c>
      <x:c r="Q62" s="68" t="str">
        <x:v>CANDIDATE_VALUE_EMPTY</x:v>
      </x:c>
      <x:c r="R62" s="69" t="str">
        <x:f>IF(O62&lt;&gt;"","是","否")</x:f>
        <x:v>否</x:v>
      </x:c>
    </x:row>
    <x:row r="63">
      <x:c r="A63" s="67" t="str">
        <x:v>case-004</x:v>
      </x:c>
      <x:c r="B63" s="68" t="str">
        <x:v>Satya Nadella</x:v>
      </x:c>
      <x:c r="C63" s="68" t="str">
        <x:v>public_figure:Q7426870</x:v>
      </x:c>
      <x:c r="D63" s="68" t="n">
        <x:v>1</x:v>
      </x:c>
      <x:c r="E63" s="68" t="str">
        <x:v>Photos</x:v>
      </x:c>
      <x:c r="F63" s="68" t="str">
        <x:v>photos_identity_match_rate</x:v>
      </x:c>
      <x:c r="G63" s="68" t="str">
        <x:v>Photo Identity Match Rate</x:v>
      </x:c>
      <x:c r="H63" s="68" t="str">
        <x:v>photos_identity_match_rate</x:v>
      </x:c>
      <x:c r="I63" s="68" t="str">
        <x:v>是</x:v>
      </x:c>
      <x:c r="J63" s="68" t="str">
        <x:v>是</x:v>
      </x:c>
      <x:c r="K63" s="68" t="str">
        <x:v>exact</x:v>
      </x:c>
      <x:c r="L63" s="68" t="str">
        <x:v>否</x:v>
      </x:c>
      <x:c r="M63" s="68" t="str"/>
      <x:c r="N63" s="68" t="str"/>
      <x:c r="O63" s="74"/>
      <x:c r="P63" s="68" t="str">
        <x:v>NOT_APPLICABLE</x:v>
      </x:c>
      <x:c r="Q63" s="68" t="str">
        <x:v>BASELINE_FIELD_UNAVAILABLE</x:v>
      </x:c>
      <x:c r="R63" s="69" t="str">
        <x:f>IF(O63&lt;&gt;"","是","否")</x:f>
        <x:v>否</x:v>
      </x:c>
    </x:row>
    <x:row r="64">
      <x:c r="A64" s="67" t="str">
        <x:v>case-004</x:v>
      </x:c>
      <x:c r="B64" s="68" t="str">
        <x:v>Satya Nadella</x:v>
      </x:c>
      <x:c r="C64" s="68" t="str">
        <x:v>public_figure:Q7426870</x:v>
      </x:c>
      <x:c r="D64" s="68" t="n">
        <x:v>1</x:v>
      </x:c>
      <x:c r="E64" s="68" t="str">
        <x:v>Photos</x:v>
      </x:c>
      <x:c r="F64" s="68" t="str">
        <x:v>photos_match_photos</x:v>
      </x:c>
      <x:c r="G64" s="68" t="str">
        <x:v>Match Photos</x:v>
      </x:c>
      <x:c r="H64" s="68" t="str">
        <x:v>photos_match_photos</x:v>
      </x:c>
      <x:c r="I64" s="68" t="str">
        <x:v>否</x:v>
      </x:c>
      <x:c r="J64" s="68" t="str">
        <x:v>否</x:v>
      </x:c>
      <x:c r="K64" s="68" t="str">
        <x:v>set</x:v>
      </x:c>
      <x:c r="L64" s="68" t="str">
        <x:v>否</x:v>
      </x:c>
      <x:c r="M64" s="68" t="str"/>
      <x:c r="N64" s="68" t="str"/>
      <x:c r="O64" s="74"/>
      <x:c r="P64" s="68" t="str"/>
      <x:c r="Q64" s="68" t="str"/>
      <x:c r="R64" s="69" t="str">
        <x:f>IF(O64&lt;&gt;"","是","否")</x:f>
        <x:v>否</x:v>
      </x:c>
    </x:row>
    <x:row r="65">
      <x:c r="A65" s="67" t="str">
        <x:v>case-004</x:v>
      </x:c>
      <x:c r="B65" s="68" t="str">
        <x:v>Satya Nadella</x:v>
      </x:c>
      <x:c r="C65" s="68" t="str">
        <x:v>public_figure:Q7426870</x:v>
      </x:c>
      <x:c r="D65" s="68" t="n">
        <x:v>1</x:v>
      </x:c>
      <x:c r="E65" s="68" t="str">
        <x:v>Profile</x:v>
      </x:c>
      <x:c r="F65" s="68" t="str">
        <x:v>profile_status</x:v>
      </x:c>
      <x:c r="G65" s="68" t="str">
        <x:v>Profile Status</x:v>
      </x:c>
      <x:c r="H65" s="68" t="str">
        <x:v>profile_status</x:v>
      </x:c>
      <x:c r="I65" s="68" t="str">
        <x:v>否</x:v>
      </x:c>
      <x:c r="J65" s="68" t="str">
        <x:v>否</x:v>
      </x:c>
      <x:c r="K65" s="68" t="str">
        <x:v>normalized_text</x:v>
      </x:c>
      <x:c r="L65" s="68" t="str">
        <x:v>否</x:v>
      </x:c>
      <x:c r="M65" s="68" t="str"/>
      <x:c r="N65" s="68" t="str">
        <x:v>data</x:v>
      </x:c>
      <x:c r="O65" s="74"/>
      <x:c r="P65" s="68" t="str"/>
      <x:c r="Q65" s="68" t="str"/>
      <x:c r="R65" s="69" t="str">
        <x:f>IF(O65&lt;&gt;"","是","否")</x:f>
        <x:v>否</x:v>
      </x:c>
    </x:row>
    <x:row r="66">
      <x:c r="A66" s="67" t="str">
        <x:v>case-004</x:v>
      </x:c>
      <x:c r="B66" s="68" t="str">
        <x:v>Satya Nadella</x:v>
      </x:c>
      <x:c r="C66" s="68" t="str">
        <x:v>public_figure:Q7426870</x:v>
      </x:c>
      <x:c r="D66" s="68" t="n">
        <x:v>1</x:v>
      </x:c>
      <x:c r="E66" s="68" t="str">
        <x:v>Profile</x:v>
      </x:c>
      <x:c r="F66" s="68" t="str">
        <x:v>profile_full_name</x:v>
      </x:c>
      <x:c r="G66" s="68" t="str">
        <x:v>Profile Full Name</x:v>
      </x:c>
      <x:c r="H66" s="68" t="str">
        <x:v>profile_full_name</x:v>
      </x:c>
      <x:c r="I66" s="68" t="str">
        <x:v>是</x:v>
      </x:c>
      <x:c r="J66" s="68" t="str">
        <x:v>是</x:v>
      </x:c>
      <x:c r="K66" s="68" t="str">
        <x:v>normalized_text</x:v>
      </x:c>
      <x:c r="L66" s="68" t="str">
        <x:v>否</x:v>
      </x:c>
      <x:c r="M66" s="68" t="str"/>
      <x:c r="N66" s="68" t="str">
        <x:v>Satya Nadella</x:v>
      </x:c>
      <x:c r="O66" s="74"/>
      <x:c r="P66" s="68" t="str">
        <x:v>NOT_APPLICABLE</x:v>
      </x:c>
      <x:c r="Q66" s="68" t="str">
        <x:v>BASELINE_FIELD_UNAVAILABLE</x:v>
      </x:c>
      <x:c r="R66" s="69" t="str">
        <x:f>IF(O66&lt;&gt;"","是","否")</x:f>
        <x:v>否</x:v>
      </x:c>
    </x:row>
    <x:row r="67">
      <x:c r="A67" s="67" t="str">
        <x:v>case-004</x:v>
      </x:c>
      <x:c r="B67" s="68" t="str">
        <x:v>Satya Nadella</x:v>
      </x:c>
      <x:c r="C67" s="68" t="str">
        <x:v>public_figure:Q7426870</x:v>
      </x:c>
      <x:c r="D67" s="68" t="n">
        <x:v>1</x:v>
      </x:c>
      <x:c r="E67" s="68" t="str">
        <x:v>Profile</x:v>
      </x:c>
      <x:c r="F67" s="68" t="str">
        <x:v>profile_age</x:v>
      </x:c>
      <x:c r="G67" s="68" t="str">
        <x:v>Profile Age</x:v>
      </x:c>
      <x:c r="H67" s="68" t="str">
        <x:v>profile_age</x:v>
      </x:c>
      <x:c r="I67" s="68" t="str">
        <x:v>是</x:v>
      </x:c>
      <x:c r="J67" s="68" t="str">
        <x:v>是</x:v>
      </x:c>
      <x:c r="K67" s="68" t="str">
        <x:v>exact</x:v>
      </x:c>
      <x:c r="L67" s="68" t="str">
        <x:v>否</x:v>
      </x:c>
      <x:c r="M67" s="68" t="str"/>
      <x:c r="N67" s="68" t="str">
        <x:v>58</x:v>
      </x:c>
      <x:c r="O67" s="74"/>
      <x:c r="P67" s="68" t="str">
        <x:v>NOT_APPLICABLE</x:v>
      </x:c>
      <x:c r="Q67" s="68" t="str">
        <x:v>BASELINE_FIELD_UNAVAILABLE</x:v>
      </x:c>
      <x:c r="R67" s="69" t="str">
        <x:f>IF(O67&lt;&gt;"","是","否")</x:f>
        <x:v>否</x:v>
      </x:c>
    </x:row>
    <x:row r="68">
      <x:c r="A68" s="67" t="str">
        <x:v>case-004</x:v>
      </x:c>
      <x:c r="B68" s="68" t="str">
        <x:v>Satya Nadella</x:v>
      </x:c>
      <x:c r="C68" s="68" t="str">
        <x:v>public_figure:Q7426870</x:v>
      </x:c>
      <x:c r="D68" s="68" t="n">
        <x:v>1</x:v>
      </x:c>
      <x:c r="E68" s="68" t="str">
        <x:v>Profile</x:v>
      </x:c>
      <x:c r="F68" s="68" t="str">
        <x:v>profile_location</x:v>
      </x:c>
      <x:c r="G68" s="68" t="str">
        <x:v>Profile Location</x:v>
      </x:c>
      <x:c r="H68" s="68" t="str">
        <x:v>profile_location</x:v>
      </x:c>
      <x:c r="I68" s="68" t="str">
        <x:v>是</x:v>
      </x:c>
      <x:c r="J68" s="68" t="str">
        <x:v>是</x:v>
      </x:c>
      <x:c r="K68" s="68" t="str">
        <x:v>semantic_text_lite</x:v>
      </x:c>
      <x:c r="L68" s="68" t="str">
        <x:v>否</x:v>
      </x:c>
      <x:c r="M68" s="68" t="str"/>
      <x:c r="N68" s="68" t="str"/>
      <x:c r="O68" s="74"/>
      <x:c r="P68" s="68" t="str">
        <x:v>NOT_APPLICABLE</x:v>
      </x:c>
      <x:c r="Q68" s="68" t="str">
        <x:v>BASELINE_FIELD_UNAVAILABLE</x:v>
      </x:c>
      <x:c r="R68" s="69" t="str">
        <x:f>IF(O68&lt;&gt;"","是","否")</x:f>
        <x:v>否</x:v>
      </x:c>
    </x:row>
    <x:row r="69">
      <x:c r="A69" s="67" t="str">
        <x:v>case-004</x:v>
      </x:c>
      <x:c r="B69" s="68" t="str">
        <x:v>Satya Nadella</x:v>
      </x:c>
      <x:c r="C69" s="68" t="str">
        <x:v>public_figure:Q7426870</x:v>
      </x:c>
      <x:c r="D69" s="68" t="n">
        <x:v>1</x:v>
      </x:c>
      <x:c r="E69" s="68" t="str">
        <x:v>Profile</x:v>
      </x:c>
      <x:c r="F69" s="68" t="str">
        <x:v>profile_jobs</x:v>
      </x:c>
      <x:c r="G69" s="68" t="str">
        <x:v>Profile Current Role</x:v>
      </x:c>
      <x:c r="H69" s="68" t="str">
        <x:v>profile_jobs</x:v>
      </x:c>
      <x:c r="I69" s="68" t="str">
        <x:v>是</x:v>
      </x:c>
      <x:c r="J69" s="68" t="str">
        <x:v>是</x:v>
      </x:c>
      <x:c r="K69" s="68" t="str">
        <x:v>semantic_text_lite</x:v>
      </x:c>
      <x:c r="L69" s="68" t="str">
        <x:v>否</x:v>
      </x:c>
      <x:c r="M69" s="68" t="str"/>
      <x:c r="N69" s="68" t="str">
        <x:v>["Business executive","Technology entrepreneur"]</x:v>
      </x:c>
      <x:c r="O69" s="74"/>
      <x:c r="P69" s="68" t="str">
        <x:v>NOT_APPLICABLE</x:v>
      </x:c>
      <x:c r="Q69" s="68" t="str">
        <x:v>BASELINE_FIELD_UNAVAILABLE</x:v>
      </x:c>
      <x:c r="R69" s="69" t="str">
        <x:f>IF(O69&lt;&gt;"","是","否")</x:f>
        <x:v>否</x:v>
      </x:c>
    </x:row>
    <x:row r="70">
      <x:c r="A70" s="67" t="str">
        <x:v>case-004</x:v>
      </x:c>
      <x:c r="B70" s="68" t="str">
        <x:v>Satya Nadella</x:v>
      </x:c>
      <x:c r="C70" s="68" t="str">
        <x:v>public_figure:Q7426870</x:v>
      </x:c>
      <x:c r="D70" s="68" t="n">
        <x:v>1</x:v>
      </x:c>
      <x:c r="E70" s="68" t="str">
        <x:v>Profile</x:v>
      </x:c>
      <x:c r="F70" s="68" t="str">
        <x:v>profile_education</x:v>
      </x:c>
      <x:c r="G70" s="68" t="str">
        <x:v>Profile Education</x:v>
      </x:c>
      <x:c r="H70" s="68" t="str">
        <x:v>profile_education</x:v>
      </x:c>
      <x:c r="I70" s="68" t="str">
        <x:v>是</x:v>
      </x:c>
      <x:c r="J70" s="68" t="str">
        <x:v>是</x:v>
      </x:c>
      <x:c r="K70" s="68" t="str">
        <x:v>semantic_text_lite</x:v>
      </x:c>
      <x:c r="L70" s="68" t="str">
        <x:v>否</x:v>
      </x:c>
      <x:c r="M70" s="68" t="str"/>
      <x:c r="N70" s="68" t="str"/>
      <x:c r="O70" s="74"/>
      <x:c r="P70" s="68" t="str">
        <x:v>NOT_APPLICABLE</x:v>
      </x:c>
      <x:c r="Q70" s="68" t="str">
        <x:v>BASELINE_FIELD_UNAVAILABLE</x:v>
      </x:c>
      <x:c r="R70" s="69" t="str">
        <x:f>IF(O70&lt;&gt;"","是","否")</x:f>
        <x:v>否</x:v>
      </x:c>
    </x:row>
    <x:row r="71">
      <x:c r="A71" s="67" t="str">
        <x:v>case-004</x:v>
      </x:c>
      <x:c r="B71" s="68" t="str">
        <x:v>Satya Nadella</x:v>
      </x:c>
      <x:c r="C71" s="68" t="str">
        <x:v>public_figure:Q7426870</x:v>
      </x:c>
      <x:c r="D71" s="68" t="n">
        <x:v>1</x:v>
      </x:c>
      <x:c r="E71" s="68" t="str">
        <x:v>Social</x:v>
      </x:c>
      <x:c r="F71" s="68" t="str">
        <x:v>social_status</x:v>
      </x:c>
      <x:c r="G71" s="68" t="str">
        <x:v>Social Status</x:v>
      </x:c>
      <x:c r="H71" s="68" t="str">
        <x:v>social_status</x:v>
      </x:c>
      <x:c r="I71" s="68" t="str">
        <x:v>否</x:v>
      </x:c>
      <x:c r="J71" s="68" t="str">
        <x:v>否</x:v>
      </x:c>
      <x:c r="K71" s="68" t="str">
        <x:v>normalized_text</x:v>
      </x:c>
      <x:c r="L71" s="68" t="str">
        <x:v>否</x:v>
      </x:c>
      <x:c r="M71" s="68" t="str"/>
      <x:c r="N71" s="68" t="str">
        <x:v>data</x:v>
      </x:c>
      <x:c r="O71" s="74"/>
      <x:c r="P71" s="68" t="str"/>
      <x:c r="Q71" s="68" t="str"/>
      <x:c r="R71" s="69" t="str">
        <x:f>IF(O71&lt;&gt;"","是","否")</x:f>
        <x:v>否</x:v>
      </x:c>
    </x:row>
    <x:row r="72">
      <x:c r="A72" s="67" t="str">
        <x:v>case-004</x:v>
      </x:c>
      <x:c r="B72" s="68" t="str">
        <x:v>Satya Nadella</x:v>
      </x:c>
      <x:c r="C72" s="68" t="str">
        <x:v>public_figure:Q7426870</x:v>
      </x:c>
      <x:c r="D72" s="68" t="n">
        <x:v>1</x:v>
      </x:c>
      <x:c r="E72" s="68" t="str">
        <x:v>Social</x:v>
      </x:c>
      <x:c r="F72" s="68" t="str">
        <x:v>social_private_accounts</x:v>
      </x:c>
      <x:c r="G72" s="68" t="str">
        <x:v>Private Accounts</x:v>
      </x:c>
      <x:c r="H72" s="68" t="str">
        <x:v>social_private_accounts</x:v>
      </x:c>
      <x:c r="I72" s="68" t="str">
        <x:v>是</x:v>
      </x:c>
      <x:c r="J72" s="68" t="str">
        <x:v>是</x:v>
      </x:c>
      <x:c r="K72" s="68" t="str">
        <x:v>set</x:v>
      </x:c>
      <x:c r="L72" s="68" t="str">
        <x:v>否</x:v>
      </x:c>
      <x:c r="M72" s="68" t="str"/>
      <x:c r="N72" s="68" t="str"/>
      <x:c r="O72" s="74"/>
      <x:c r="P72" s="68" t="str">
        <x:v>NOT_APPLICABLE</x:v>
      </x:c>
      <x:c r="Q72" s="68" t="str">
        <x:v>BASELINE_FIELD_UNAVAILABLE</x:v>
      </x:c>
      <x:c r="R72" s="69" t="str">
        <x:f>IF(O72&lt;&gt;"","是","否")</x:f>
        <x:v>否</x:v>
      </x:c>
    </x:row>
    <x:row r="73">
      <x:c r="A73" s="67" t="str">
        <x:v>case-004</x:v>
      </x:c>
      <x:c r="B73" s="68" t="str">
        <x:v>Satya Nadella</x:v>
      </x:c>
      <x:c r="C73" s="68" t="str">
        <x:v>public_figure:Q7426870</x:v>
      </x:c>
      <x:c r="D73" s="68" t="n">
        <x:v>1</x:v>
      </x:c>
      <x:c r="E73" s="68" t="str">
        <x:v>Social</x:v>
      </x:c>
      <x:c r="F73" s="68" t="str">
        <x:v>social_display_handles</x:v>
      </x:c>
      <x:c r="G73" s="68" t="str">
        <x:v>Social Display Handles</x:v>
      </x:c>
      <x:c r="H73" s="68" t="str">
        <x:v>social_display_handles</x:v>
      </x:c>
      <x:c r="I73" s="68" t="str">
        <x:v>否</x:v>
      </x:c>
      <x:c r="J73" s="68" t="str">
        <x:v>否</x:v>
      </x:c>
      <x:c r="K73" s="68" t="str">
        <x:v>set</x:v>
      </x:c>
      <x:c r="L73" s="68" t="str">
        <x:v>是</x:v>
      </x:c>
      <x:c r="M73" s="68" t="str">
        <x:v>["satyanadella"]</x:v>
      </x:c>
      <x:c r="N73" s="68" t="str">
        <x:v>["satyanadella"]</x:v>
      </x:c>
      <x:c r="O73" s="74"/>
      <x:c r="P73" s="68" t="str"/>
      <x:c r="Q73" s="68" t="str"/>
      <x:c r="R73" s="69" t="str">
        <x:f>IF(O73&lt;&gt;"","是","否")</x:f>
        <x:v>否</x:v>
      </x:c>
    </x:row>
    <x:row r="74">
      <x:c r="A74" s="67" t="str">
        <x:v>case-004</x:v>
      </x:c>
      <x:c r="B74" s="68" t="str">
        <x:v>Satya Nadella</x:v>
      </x:c>
      <x:c r="C74" s="68" t="str">
        <x:v>public_figure:Q7426870</x:v>
      </x:c>
      <x:c r="D74" s="68" t="n">
        <x:v>1</x:v>
      </x:c>
      <x:c r="E74" s="68" t="str">
        <x:v>Social</x:v>
      </x:c>
      <x:c r="F74" s="68" t="str">
        <x:v>social_platforms</x:v>
      </x:c>
      <x:c r="G74" s="68" t="str">
        <x:v>Social Platforms</x:v>
      </x:c>
      <x:c r="H74" s="68" t="str">
        <x:v>social_platforms</x:v>
      </x:c>
      <x:c r="I74" s="68" t="str">
        <x:v>否</x:v>
      </x:c>
      <x:c r="J74" s="68" t="str">
        <x:v>否</x:v>
      </x:c>
      <x:c r="K74" s="68" t="str">
        <x:v>set</x:v>
      </x:c>
      <x:c r="L74" s="68" t="str">
        <x:v>是</x:v>
      </x:c>
      <x:c r="M74" s="68" t="str">
        <x:v>["twitter","linkedin","github"]</x:v>
      </x:c>
      <x:c r="N74" s="68" t="str">
        <x:v>["x"]</x:v>
      </x:c>
      <x:c r="O74" s="74"/>
      <x:c r="P74" s="68" t="str"/>
      <x:c r="Q74" s="68" t="str"/>
      <x:c r="R74" s="69" t="str">
        <x:f>IF(O74&lt;&gt;"","是","否")</x:f>
        <x:v>否</x:v>
      </x:c>
    </x:row>
    <x:row r="75">
      <x:c r="A75" s="67" t="str">
        <x:v>case-004</x:v>
      </x:c>
      <x:c r="B75" s="68" t="str">
        <x:v>Satya Nadella</x:v>
      </x:c>
      <x:c r="C75" s="68" t="str">
        <x:v>public_figure:Q7426870</x:v>
      </x:c>
      <x:c r="D75" s="68" t="n">
        <x:v>1</x:v>
      </x:c>
      <x:c r="E75" s="68" t="str">
        <x:v>Social</x:v>
      </x:c>
      <x:c r="F75" s="68" t="str">
        <x:v>social_urls</x:v>
      </x:c>
      <x:c r="G75" s="68" t="str">
        <x:v>Social URLs</x:v>
      </x:c>
      <x:c r="H75" s="68" t="str">
        <x:v>social_urls</x:v>
      </x:c>
      <x:c r="I75" s="68" t="str">
        <x:v>是</x:v>
      </x:c>
      <x:c r="J75" s="68" t="str">
        <x:v>是</x:v>
      </x:c>
      <x:c r="K75" s="68" t="str">
        <x:v>url_set</x:v>
      </x:c>
      <x:c r="L75" s="68" t="str">
        <x:v>是</x:v>
      </x:c>
      <x:c r="M75" s="68" t="str">
        <x:v>["https://twitter.com/satyanadella","https://linkedin.com/in/satyanadella","https://github.com/satyanadella"]</x:v>
      </x:c>
      <x:c r="N75" s="68" t="str">
        <x:v>["https://twitter.com/satyanadella"]</x:v>
      </x:c>
      <x:c r="O75" s="74" t="n">
        <x:v>1</x:v>
      </x:c>
      <x:c r="P75" s="68" t="str">
        <x:v>READY</x:v>
      </x:c>
      <x:c r="Q75" s="68" t="str">
        <x:v>READY</x:v>
      </x:c>
      <x:c r="R75" s="69" t="str">
        <x:f>IF(O75&lt;&gt;"","是","否")</x:f>
        <x:v>是</x:v>
      </x:c>
    </x:row>
    <x:row r="76">
      <x:c r="A76" s="67" t="str">
        <x:v>case-004</x:v>
      </x:c>
      <x:c r="B76" s="68" t="str">
        <x:v>Satya Nadella</x:v>
      </x:c>
      <x:c r="C76" s="68" t="str">
        <x:v>public_figure:Q7426870</x:v>
      </x:c>
      <x:c r="D76" s="68" t="n">
        <x:v>1</x:v>
      </x:c>
      <x:c r="E76" s="68" t="str">
        <x:v>Social</x:v>
      </x:c>
      <x:c r="F76" s="68" t="str">
        <x:v>social_usernames</x:v>
      </x:c>
      <x:c r="G76" s="68" t="str">
        <x:v>Social Usernames</x:v>
      </x:c>
      <x:c r="H76" s="68" t="str">
        <x:v>social_usernames</x:v>
      </x:c>
      <x:c r="I76" s="68" t="str">
        <x:v>否</x:v>
      </x:c>
      <x:c r="J76" s="68" t="str">
        <x:v>否</x:v>
      </x:c>
      <x:c r="K76" s="68" t="str">
        <x:v>set</x:v>
      </x:c>
      <x:c r="L76" s="68" t="str">
        <x:v>是</x:v>
      </x:c>
      <x:c r="M76" s="68" t="str">
        <x:v>["satyanadella"]</x:v>
      </x:c>
      <x:c r="N76" s="68" t="str">
        <x:v>["satyanadella"]</x:v>
      </x:c>
      <x:c r="O76" s="74"/>
      <x:c r="P76" s="68" t="str"/>
      <x:c r="Q76" s="68" t="str"/>
      <x:c r="R76" s="69" t="str">
        <x:f>IF(O76&lt;&gt;"","是","否")</x:f>
        <x:v>否</x:v>
      </x:c>
    </x:row>
    <x:row r="77">
      <x:c r="A77" s="67" t="str">
        <x:v>case-004</x:v>
      </x:c>
      <x:c r="B77" s="68" t="str">
        <x:v>Satya Nadella</x:v>
      </x:c>
      <x:c r="C77" s="68" t="str">
        <x:v>public_figure:Q7426870</x:v>
      </x:c>
      <x:c r="D77" s="68" t="n">
        <x:v>1</x:v>
      </x:c>
      <x:c r="E77" s="68" t="str">
        <x:v>Summary</x:v>
      </x:c>
      <x:c r="F77" s="68" t="str">
        <x:v>summary_status</x:v>
      </x:c>
      <x:c r="G77" s="68" t="str">
        <x:v>Summary Status</x:v>
      </x:c>
      <x:c r="H77" s="68" t="str">
        <x:v>summary_status</x:v>
      </x:c>
      <x:c r="I77" s="68" t="str">
        <x:v>否</x:v>
      </x:c>
      <x:c r="J77" s="68" t="str">
        <x:v>否</x:v>
      </x:c>
      <x:c r="K77" s="68" t="str">
        <x:v>normalized_text</x:v>
      </x:c>
      <x:c r="L77" s="68" t="str">
        <x:v>否</x:v>
      </x:c>
      <x:c r="M77" s="68" t="str"/>
      <x:c r="N77" s="68" t="str">
        <x:v>data</x:v>
      </x:c>
      <x:c r="O77" s="74"/>
      <x:c r="P77" s="68" t="str"/>
      <x:c r="Q77" s="68" t="str"/>
      <x:c r="R77" s="69" t="str">
        <x:f>IF(O77&lt;&gt;"","是","否")</x:f>
        <x:v>否</x:v>
      </x:c>
    </x:row>
    <x:row r="78">
      <x:c r="A78" s="67" t="str">
        <x:v>case-004</x:v>
      </x:c>
      <x:c r="B78" s="68" t="str">
        <x:v>Satya Nadella</x:v>
      </x:c>
      <x:c r="C78" s="68" t="str">
        <x:v>public_figure:Q7426870</x:v>
      </x:c>
      <x:c r="D78" s="68" t="n">
        <x:v>1</x:v>
      </x:c>
      <x:c r="E78" s="68" t="str">
        <x:v>Summary</x:v>
      </x:c>
      <x:c r="F78" s="68" t="str">
        <x:v>summary_avatar_url</x:v>
      </x:c>
      <x:c r="G78" s="68" t="str">
        <x:v>Summary Avatar URL</x:v>
      </x:c>
      <x:c r="H78" s="68" t="str">
        <x:v>summary_avatar_url</x:v>
      </x:c>
      <x:c r="I78" s="68" t="str">
        <x:v>否</x:v>
      </x:c>
      <x:c r="J78" s="68" t="str">
        <x:v>是</x:v>
      </x:c>
      <x:c r="K78" s="68" t="str">
        <x:v>url_set</x:v>
      </x:c>
      <x:c r="L78" s="68" t="str">
        <x:v>是</x:v>
      </x:c>
      <x:c r="M78" s="68" t="str">
        <x:v>https://kg.diffbot.com/image/api/get?fetch=yes&amp;urls=g%3Cj7P0St0DnBJf.x0KwLZrUn.%5B%3CR0Aa4Hh%3B%5Bv738ZqOr7U%3FhvGv%3ErA-2%7B1%5D-%2F%5B%3C%5E%7BDg-%40gX%7E%7C-DczI-A_-Qp-P%7E%7C%28_Lj1Jm%3D%29.Pw4,g%3Cj7guSXzAoBWu.x0KwLZrUn.%5B%3CR0Aa4Hwygr9m6W%3Exl5G%60Bkxm%5Cx-aeh%2F-iB%5E%3De%7B9-zNz%5Df-fBd0-pI-sO-7P%5B%28FnIk1%3Fl%29.rVn,g%3Cj7P0SttAc%3ANu.d9U%7CB%5DpM08.%7DZnIa6%40_%3Bv2FpDLhawxEr-%5BuTpJZ%40-r%3Ec2Jh9e%3ERy%3D%60pjr8TIM%7DEitG%5EQVp</x:v>
      </x:c>
      <x:c r="N78" s="68" t="str">
        <x:v>https://pbs.twimg.com/profile_images/1221837516816306177/_Ld4un5A_normal.jpg</x:v>
      </x:c>
      <x:c r="O78" s="74"/>
      <x:c r="P78" s="68" t="str">
        <x:v>NOT_APPLICABLE</x:v>
      </x:c>
      <x:c r="Q78" s="68" t="str">
        <x:v>BASELINE_COMPARISON_DISABLED</x:v>
      </x:c>
      <x:c r="R78" s="69" t="str">
        <x:f>IF(O78&lt;&gt;"","是","否")</x:f>
        <x:v>否</x:v>
      </x:c>
    </x:row>
    <x:row r="79">
      <x:c r="A79" s="67" t="str">
        <x:v>case-004</x:v>
      </x:c>
      <x:c r="B79" s="68" t="str">
        <x:v>Satya Nadella</x:v>
      </x:c>
      <x:c r="C79" s="68" t="str">
        <x:v>public_figure:Q7426870</x:v>
      </x:c>
      <x:c r="D79" s="68" t="n">
        <x:v>1</x:v>
      </x:c>
      <x:c r="E79" s="68" t="str">
        <x:v>Summary</x:v>
      </x:c>
      <x:c r="F79" s="68" t="str">
        <x:v>candidate_confidence</x:v>
      </x:c>
      <x:c r="G79" s="68" t="str">
        <x:v>Summary Confidence Level</x:v>
      </x:c>
      <x:c r="H79" s="68" t="str">
        <x:v>candidate_confidence</x:v>
      </x:c>
      <x:c r="I79" s="68" t="str">
        <x:v>否</x:v>
      </x:c>
      <x:c r="J79" s="68" t="str">
        <x:v>否</x:v>
      </x:c>
      <x:c r="K79" s="68" t="str">
        <x:v>normalized_text</x:v>
      </x:c>
      <x:c r="L79" s="68" t="str">
        <x:v>否</x:v>
      </x:c>
      <x:c r="M79" s="68" t="str"/>
      <x:c r="N79" s="68" t="str">
        <x:v>HIGH</x:v>
      </x:c>
      <x:c r="O79" s="74"/>
      <x:c r="P79" s="68" t="str"/>
      <x:c r="Q79" s="68" t="str"/>
      <x:c r="R79" s="69" t="str">
        <x:f>IF(O79&lt;&gt;"","是","否")</x:f>
        <x:v>否</x:v>
      </x:c>
    </x:row>
    <x:row r="80">
      <x:c r="A80" s="67" t="str">
        <x:v>case-004</x:v>
      </x:c>
      <x:c r="B80" s="68" t="str">
        <x:v>Satya Nadella</x:v>
      </x:c>
      <x:c r="C80" s="68" t="str">
        <x:v>public_figure:Q7426870</x:v>
      </x:c>
      <x:c r="D80" s="68" t="n">
        <x:v>1</x:v>
      </x:c>
      <x:c r="E80" s="68" t="str">
        <x:v>Summary</x:v>
      </x:c>
      <x:c r="F80" s="68" t="str">
        <x:v>summary_is_best_match</x:v>
      </x:c>
      <x:c r="G80" s="68" t="str">
        <x:v>Summary Is Best Match</x:v>
      </x:c>
      <x:c r="H80" s="68" t="str">
        <x:v>summary_is_best_match</x:v>
      </x:c>
      <x:c r="I80" s="68" t="str">
        <x:v>否</x:v>
      </x:c>
      <x:c r="J80" s="68" t="str">
        <x:v>否</x:v>
      </x:c>
      <x:c r="K80" s="68" t="str">
        <x:v>exact</x:v>
      </x:c>
      <x:c r="L80" s="68" t="str">
        <x:v>否</x:v>
      </x:c>
      <x:c r="M80" s="68" t="str"/>
      <x:c r="N80" s="68" t="str">
        <x:v>false</x:v>
      </x:c>
      <x:c r="O80" s="74"/>
      <x:c r="P80" s="68" t="str"/>
      <x:c r="Q80" s="68" t="str"/>
      <x:c r="R80" s="69" t="str">
        <x:f>IF(O80&lt;&gt;"","是","否")</x:f>
        <x:v>否</x:v>
      </x:c>
    </x:row>
    <x:row r="81">
      <x:c r="A81" s="67" t="str">
        <x:v>case-004</x:v>
      </x:c>
      <x:c r="B81" s="68" t="str">
        <x:v>Satya Nadella</x:v>
      </x:c>
      <x:c r="C81" s="68" t="str">
        <x:v>public_figure:Q7426870</x:v>
      </x:c>
      <x:c r="D81" s="68" t="n">
        <x:v>1</x:v>
      </x:c>
      <x:c r="E81" s="68" t="str">
        <x:v>Summary</x:v>
      </x:c>
      <x:c r="F81" s="68" t="str">
        <x:v>summary_is_top_result</x:v>
      </x:c>
      <x:c r="G81" s="68" t="str">
        <x:v>Summary Is Top Result</x:v>
      </x:c>
      <x:c r="H81" s="68" t="str">
        <x:v>summary_is_top_result</x:v>
      </x:c>
      <x:c r="I81" s="68" t="str">
        <x:v>否</x:v>
      </x:c>
      <x:c r="J81" s="68" t="str">
        <x:v>否</x:v>
      </x:c>
      <x:c r="K81" s="68" t="str">
        <x:v>exact</x:v>
      </x:c>
      <x:c r="L81" s="68" t="str">
        <x:v>否</x:v>
      </x:c>
      <x:c r="M81" s="68" t="str"/>
      <x:c r="N81" s="68" t="str">
        <x:v>true</x:v>
      </x:c>
      <x:c r="O81" s="74"/>
      <x:c r="P81" s="68" t="str"/>
      <x:c r="Q81" s="68" t="str"/>
      <x:c r="R81" s="69" t="str">
        <x:f>IF(O81&lt;&gt;"","是","否")</x:f>
        <x:v>否</x:v>
      </x:c>
    </x:row>
    <x:row r="82">
      <x:c r="A82" s="67" t="str">
        <x:v>case-005</x:v>
      </x:c>
      <x:c r="B82" s="68" t="str">
        <x:v>Ben Carson</x:v>
      </x:c>
      <x:c r="C82" s="68" t="str">
        <x:v>public_figure:Q816459</x:v>
      </x:c>
      <x:c r="D82" s="68" t="n">
        <x:v>1</x:v>
      </x:c>
      <x:c r="E82" s="68" t="str">
        <x:v>Insights</x:v>
      </x:c>
      <x:c r="F82" s="68" t="str">
        <x:v>insights_status</x:v>
      </x:c>
      <x:c r="G82" s="68" t="str">
        <x:v>Insights Status</x:v>
      </x:c>
      <x:c r="H82" s="68" t="str">
        <x:v>insights_status</x:v>
      </x:c>
      <x:c r="I82" s="68" t="str">
        <x:v>否</x:v>
      </x:c>
      <x:c r="J82" s="68" t="str">
        <x:v>否</x:v>
      </x:c>
      <x:c r="K82" s="68" t="str">
        <x:v>normalized_text</x:v>
      </x:c>
      <x:c r="L82" s="68" t="str">
        <x:v>否</x:v>
      </x:c>
      <x:c r="M82" s="68" t="str"/>
      <x:c r="N82" s="68" t="str">
        <x:v>data</x:v>
      </x:c>
      <x:c r="O82" s="74"/>
      <x:c r="P82" s="68" t="str"/>
      <x:c r="Q82" s="68" t="str"/>
      <x:c r="R82" s="69" t="str">
        <x:f>IF(O82&lt;&gt;"","是","否")</x:f>
        <x:v>否</x:v>
      </x:c>
    </x:row>
    <x:row r="83">
      <x:c r="A83" s="67" t="str">
        <x:v>case-005</x:v>
      </x:c>
      <x:c r="B83" s="68" t="str">
        <x:v>Ben Carson</x:v>
      </x:c>
      <x:c r="C83" s="68" t="str">
        <x:v>public_figure:Q816459</x:v>
      </x:c>
      <x:c r="D83" s="68" t="n">
        <x:v>1</x:v>
      </x:c>
      <x:c r="E83" s="68" t="str">
        <x:v>Insights</x:v>
      </x:c>
      <x:c r="F83" s="68" t="str">
        <x:v>insights_items</x:v>
      </x:c>
      <x:c r="G83" s="68" t="str">
        <x:v>Insights Items</x:v>
      </x:c>
      <x:c r="H83" s="68" t="str">
        <x:v>insights_items</x:v>
      </x:c>
      <x:c r="I83" s="68" t="str">
        <x:v>否</x:v>
      </x:c>
      <x:c r="J83" s="68" t="str">
        <x:v>否</x:v>
      </x:c>
      <x:c r="K83" s="68" t="str">
        <x:v>set</x:v>
      </x:c>
      <x:c r="L83" s="68" t="str">
        <x:v>否</x:v>
      </x:c>
      <x:c r="M83" s="68" t="str"/>
      <x:c r="N83" s="68" t="str">
        <x:v>[{"description":"Benjamin Solomon Carson Sr. is an American retired neurosurgeon, academic, author, and government official who served as the 17th United States Secretary of Housing and Urban Development from 2017 to 2021. A pioneer in the field of neurosurgery, he was a candidate in the 2016 Republican presidential primaries. Carson is one of the most prominent black conservatives in the United States.","details":{"summary":"Benjamin Solomon Carson Sr. is an American retired neurosurgeon, academic, author, and government official who served as the 17th United States Secretary of Housing and Urban Development from 2017 to 2021. A pioneer in the field of neurosurgery, he was a candidate in the 2016 Republican presidential primaries. Carson is one of the most prominent black conservatives in the United States.","wikidata_id":"Q816459","wikipedia_url":"https://en.wikipedia.org/wiki/Ben_Carson"},"evidence_id":"public_figure_highlights_Q816459","links":[{"platform":"","title":"Public source","type":"web","url":"https://en.wikipedia.org/wiki/Ben_Carson"},{"platform":"","title":"Public source","type":"web","url":"https://www.wikidata.org/wiki/Q816459"},{"platform":"","title":"Public source","type":"web","url":"http://www.bencarson.com"}],"match_type":"","reason":"Benjamin Solomon Carson Sr. is an American retired neurosurgeon, academic, author, and government official who served as the 17th United States Secretary of Housing and Urban Development from 2017 to 2021. A pioneer in the field of neurosurgery, he was a candidate in the 2016 Republican presidential primaries. Carson is one of the most prominent black conservatives in the United States.","source":"public_figure","source_platforms":[],"title":"Major Highlights","type":"major_highlights","url":"https://en.wikipedia.org/wiki/Ben_Carson"}]</x:v>
      </x:c>
      <x:c r="O83" s="74"/>
      <x:c r="P83" s="68" t="str"/>
      <x:c r="Q83" s="68" t="str"/>
      <x:c r="R83" s="69" t="str">
        <x:f>IF(O83&lt;&gt;"","是","否")</x:f>
        <x:v>否</x:v>
      </x:c>
    </x:row>
    <x:row r="84">
      <x:c r="A84" s="67" t="str">
        <x:v>case-005</x:v>
      </x:c>
      <x:c r="B84" s="68" t="str">
        <x:v>Ben Carson</x:v>
      </x:c>
      <x:c r="C84" s="68" t="str">
        <x:v>public_figure:Q816459</x:v>
      </x:c>
      <x:c r="D84" s="68" t="n">
        <x:v>1</x:v>
      </x:c>
      <x:c r="E84" s="68" t="str">
        <x:v>Insights</x:v>
      </x:c>
      <x:c r="F84" s="68" t="str">
        <x:v>insights_description</x:v>
      </x:c>
      <x:c r="G84" s="68" t="str">
        <x:v>Insights Description</x:v>
      </x:c>
      <x:c r="H84" s="68" t="str">
        <x:v>insights_description</x:v>
      </x:c>
      <x:c r="I84" s="68" t="str">
        <x:v>是</x:v>
      </x:c>
      <x:c r="J84" s="68" t="str">
        <x:v>是</x:v>
      </x:c>
      <x:c r="K84" s="68" t="str">
        <x:v>semantic_text_lite</x:v>
      </x:c>
      <x:c r="L84" s="68" t="str">
        <x:v>是</x:v>
      </x:c>
      <x:c r="M84" s="68" t="str">
        <x:v>["Benjamin Solomon Carson Sr. (born September 18, 1951) is an American retired neurosurgeon, academic, author, and government official who served as the 17th United States Secretary of Housing and Urban Development from 2017 to 2021. A pioneer in the field of neurosurgery, he was a candidate in the 2016 Republican presidential primaries. Carson is one of the most prominent black conservatives in the United States."]</x:v>
      </x:c>
      <x:c r="N84" s="68" t="str">
        <x:v>["Benjamin Solomon Carson Sr. is an American retired neurosurgeon, academic, author, and government official who served as the 17th United States Secretary of Housing and Urban Development from 2017 to 2021. A pioneer in the field of neurosurgery, he was a candidate in the 2016 Republican presidential primaries. Carson is one of the most prominent black conservatives in the United States."]</x:v>
      </x:c>
      <x:c r="O84" s="74" t="n">
        <x:v>0.9215686274509803</x:v>
      </x:c>
      <x:c r="P84" s="68" t="str">
        <x:v>READY</x:v>
      </x:c>
      <x:c r="Q84" s="68" t="str">
        <x:v>SEMANTIC_SIMILARITY</x:v>
      </x:c>
      <x:c r="R84" s="69" t="str">
        <x:f>IF(O84&lt;&gt;"","是","否")</x:f>
        <x:v>是</x:v>
      </x:c>
    </x:row>
    <x:row r="85">
      <x:c r="A85" s="67" t="str">
        <x:v>case-005</x:v>
      </x:c>
      <x:c r="B85" s="68" t="str">
        <x:v>Ben Carson</x:v>
      </x:c>
      <x:c r="C85" s="68" t="str">
        <x:v>public_figure:Q816459</x:v>
      </x:c>
      <x:c r="D85" s="68" t="n">
        <x:v>1</x:v>
      </x:c>
      <x:c r="E85" s="68" t="str">
        <x:v>Insights</x:v>
      </x:c>
      <x:c r="F85" s="68" t="str">
        <x:v>insights_links</x:v>
      </x:c>
      <x:c r="G85" s="68" t="str">
        <x:v>Insights Links</x:v>
      </x:c>
      <x:c r="H85" s="68" t="str">
        <x:v>insights_links</x:v>
      </x:c>
      <x:c r="I85" s="68" t="str">
        <x:v>是</x:v>
      </x:c>
      <x:c r="J85" s="68" t="str">
        <x:v>是</x:v>
      </x:c>
      <x:c r="K85" s="68" t="str">
        <x:v>set</x:v>
      </x:c>
      <x:c r="L85" s="68" t="str">
        <x:v>是</x:v>
      </x:c>
      <x:c r="M85" s="68" t="str">
        <x:v>["https://bloomberg.com/profile/person/14016273","https://celebritynetworth.com/richest-businessmen/business-executives/dr-ben-carson-net-worth","https://classmates.com/people/benjamin-carson/4000178412934","https://classmates.com/people/benjamin-carson/4000171257926","https://classmates.com/people/benjamin-carson/4000165391706","https://crunchbase.com/person/benjamin-s-carson","https://fastpeoplesearch.com/benjamin-carson_id_G7051385264325475815","https://imdb.com/name/nm0990442","https://theorg.com/org/d-r-horton/org-chart/benjamin-s-carson","https://theorg.com/org/d-r-horton/team/benjamin-s-carson","https://theorg.com/org/sinclair-broadcast-group/org-chart/benjamin-carson-sr","https://theorg.com/org/sinclair-broadcast-group/team/benjamin-carson-sr","https://wikidata.org/entity/Q816459","https://en.wikipedia.org/wiki/Ben_Carson","https://wikidata.org/entity/Q31293918","https://dbpedia.org/page/Ben_Carson","https://en.wikipedia.org/?curid=1017695","https://dbpedia.org/resource/Ben_Carson","https://hud.gov/about/leadership/ben_carson","https://bencarson.com","https://m.me/realbencarson","https://realbencarson.com","https://carsonscholars.org","https://hud.gov","https://americancornerstone.org","https://d-nb.info/gnd/121223035","https://viaf.org/viaf/71503552","https://g.co/kg/m/03znkl","https://amazon.com/wd/e/B001IGOK4M","https://agecalculator.me/ben-carson/8222","https://conservapedia.com/Ben_Carson","https://daystar.com/guest-guide/marcus-joni-guests/dr-ben-carson","https://factmandu.com/ben-carson","https://ghc.edu/student-services/first-generation-students?drbencarson","https://horatioalger.org/members/detail/benjamin-s-carson-sr","https://macroaxis.com/invest/manager/K--Samantha_Long","https://networthlist.org/ben-carson","https://pri-med.com/sitecore/content/pmo/globals/faculty/c/carson-benjamin","https://speakerbookingagency.com/talent/dr.-ben-carson"]</x:v>
      </x:c>
      <x:c r="N85" s="68" t="str">
        <x:v>[[{"platform":"","title":"Public source","type":"web","url":"https://en.wikipedia.org/wiki/Ben_Carson"},{"platform":"","title":"Public source","type":"web","url":"https://www.wikidata.org/wiki/Q816459"},{"platform":"","title":"Public source","type":"web","url":"http://www.bencarson.com"}]]</x:v>
      </x:c>
      <x:c r="O85" s="74" t="n">
        <x:v>0</x:v>
      </x:c>
      <x:c r="P85" s="68" t="str">
        <x:v>READY</x:v>
      </x:c>
      <x:c r="Q85" s="68" t="str">
        <x:v>READY</x:v>
      </x:c>
      <x:c r="R85" s="69" t="str">
        <x:f>IF(O85&lt;&gt;"","是","否")</x:f>
        <x:v>否</x:v>
      </x:c>
    </x:row>
    <x:row r="86">
      <x:c r="A86" s="67" t="str">
        <x:v>case-005</x:v>
      </x:c>
      <x:c r="B86" s="68" t="str">
        <x:v>Ben Carson</x:v>
      </x:c>
      <x:c r="C86" s="68" t="str">
        <x:v>public_figure:Q816459</x:v>
      </x:c>
      <x:c r="D86" s="68" t="n">
        <x:v>1</x:v>
      </x:c>
      <x:c r="E86" s="68" t="str">
        <x:v>Photos</x:v>
      </x:c>
      <x:c r="F86" s="68" t="str">
        <x:v>photos_status</x:v>
      </x:c>
      <x:c r="G86" s="68" t="str">
        <x:v>Photos Status</x:v>
      </x:c>
      <x:c r="H86" s="68" t="str">
        <x:v>photos_status</x:v>
      </x:c>
      <x:c r="I86" s="68" t="str">
        <x:v>否</x:v>
      </x:c>
      <x:c r="J86" s="68" t="str">
        <x:v>否</x:v>
      </x:c>
      <x:c r="K86" s="68" t="str">
        <x:v>normalized_text</x:v>
      </x:c>
      <x:c r="L86" s="68" t="str">
        <x:v>否</x:v>
      </x:c>
      <x:c r="M86" s="68" t="str"/>
      <x:c r="N86" s="68" t="str">
        <x:v>data</x:v>
      </x:c>
      <x:c r="O86" s="74"/>
      <x:c r="P86" s="68" t="str"/>
      <x:c r="Q86" s="68" t="str"/>
      <x:c r="R86" s="69" t="str">
        <x:f>IF(O86&lt;&gt;"","是","否")</x:f>
        <x:v>否</x:v>
      </x:c>
    </x:row>
    <x:row r="87">
      <x:c r="A87" s="67" t="str">
        <x:v>case-005</x:v>
      </x:c>
      <x:c r="B87" s="68" t="str">
        <x:v>Ben Carson</x:v>
      </x:c>
      <x:c r="C87" s="68" t="str">
        <x:v>public_figure:Q816459</x:v>
      </x:c>
      <x:c r="D87" s="68" t="n">
        <x:v>1</x:v>
      </x:c>
      <x:c r="E87" s="68" t="str">
        <x:v>Photos</x:v>
      </x:c>
      <x:c r="F87" s="68" t="str">
        <x:v>photos_authenticity_photos</x:v>
      </x:c>
      <x:c r="G87" s="68" t="str">
        <x:v>Authenticity Photos</x:v>
      </x:c>
      <x:c r="H87" s="68" t="str">
        <x:v>photos_authenticity_photos</x:v>
      </x:c>
      <x:c r="I87" s="68" t="str">
        <x:v>否</x:v>
      </x:c>
      <x:c r="J87" s="68" t="str">
        <x:v>否</x:v>
      </x:c>
      <x:c r="K87" s="68" t="str">
        <x:v>set</x:v>
      </x:c>
      <x:c r="L87" s="68" t="str">
        <x:v>否</x:v>
      </x:c>
      <x:c r="M87" s="68" t="str"/>
      <x:c r="N87" s="68" t="str">
        <x:v>[{"image_url":"https://***.myqcloud.com/***SIGNED_UPLOAD_URL***","source_url":"https://simple.wikipedia.org/wiki/Ben_Carson","sources":[{"image_url":"https://upload.wikimedia.org/wikipedia/commons/thumb/9/98/Ben_Carson_USDA.jpg/960px-Ben_Carson_USDA.jpg?utm_source=simple.wikipedia.org&amp;utm_campaign=index&amp;utm_content=thumbnail","provider":"searchapi_google_lens","source_type":"image_visual_match","source_url":"https://simple.wikipedia.org/wiki/Ben_Carson","title":"Ben Carson - Simple English Wikipedia, the free encyclopedia"},{"image_url":"https://kids.kiddle.co/images/thumb/9/98/Ben_Carson_USDA.jpg/300px-Ben_Carson_USDA.jpg","provider":"searchapi_google_lens","source_type":"image_visual_match","source_url":"https://kids.kiddle.co/Ben_Carson","title":"Ben Carson Facts for Kids"}],"status":"found_online"}]</x:v>
      </x:c>
      <x:c r="O87" s="74"/>
      <x:c r="P87" s="68" t="str"/>
      <x:c r="Q87" s="68" t="str"/>
      <x:c r="R87" s="69" t="str">
        <x:f>IF(O87&lt;&gt;"","是","否")</x:f>
        <x:v>否</x:v>
      </x:c>
    </x:row>
    <x:row r="88">
      <x:c r="A88" s="67" t="str">
        <x:v>case-005</x:v>
      </x:c>
      <x:c r="B88" s="68" t="str">
        <x:v>Ben Carson</x:v>
      </x:c>
      <x:c r="C88" s="68" t="str">
        <x:v>public_figure:Q816459</x:v>
      </x:c>
      <x:c r="D88" s="68" t="n">
        <x:v>1</x:v>
      </x:c>
      <x:c r="E88" s="68" t="str">
        <x:v>Photos</x:v>
      </x:c>
      <x:c r="F88" s="68" t="str">
        <x:v>photos_baseline_photo_url</x:v>
      </x:c>
      <x:c r="G88" s="68" t="str">
        <x:v>Baseline Photo URL</x:v>
      </x:c>
      <x:c r="H88" s="68" t="str">
        <x:v>photos_baseline_photo_url</x:v>
      </x:c>
      <x:c r="I88" s="68" t="str">
        <x:v>是</x:v>
      </x:c>
      <x:c r="J88" s="68" t="str">
        <x:v>是</x:v>
      </x:c>
      <x:c r="K88" s="68" t="str">
        <x:v>url_set</x:v>
      </x:c>
      <x:c r="L88" s="68" t="str">
        <x:v>是</x:v>
      </x:c>
      <x:c r="M88" s="68" t="str">
        <x:v>https://kg.diffbot.com/image/api/get?fetch=yes&amp;urls=g%3Cj7guSXzAoBWu.x0KwLZrUn.%5B%3CR0Aa4Hwygr9m6W%3Exl5G%60BkxmQ%3A%5C%7B0d%3Em%3AOY%7DLSi.A%5Dm,g%3Cj7P0St0DnBJf.x0KwLZrUn.%5B%3CR0Aa4Hh%3B%5Bv738ZqOr7U%3FCvrt%3EgS%3ALF%7Dl%3EPh7%7B%3FZ%3B.WvK,g%3Cj7P0St%7B6u.%5DyIn%7E.qNb%3D%5C%2FBR3Wfya6%40_%3Bj%3C%5E%3BUn5f3IdHiyBnF%5CrPlxpIp4bBmn%5C6We%3Ad5.N2J</x:v>
      </x:c>
      <x:c r="N88" s="68" t="str">
        <x:v>https://***.myqcloud.com/***SIGNED_UPLOAD_URL***</x:v>
      </x:c>
      <x:c r="O88" s="74" t="n">
        <x:v>0</x:v>
      </x:c>
      <x:c r="P88" s="68" t="str">
        <x:v>READY</x:v>
      </x:c>
      <x:c r="Q88" s="68" t="str">
        <x:v>READY</x:v>
      </x:c>
      <x:c r="R88" s="69" t="str">
        <x:f>IF(O88&lt;&gt;"","是","否")</x:f>
        <x:v>否</x:v>
      </x:c>
    </x:row>
    <x:row r="89">
      <x:c r="A89" s="67" t="str">
        <x:v>case-005</x:v>
      </x:c>
      <x:c r="B89" s="68" t="str">
        <x:v>Ben Carson</x:v>
      </x:c>
      <x:c r="C89" s="68" t="str">
        <x:v>public_figure:Q816459</x:v>
      </x:c>
      <x:c r="D89" s="68" t="n">
        <x:v>1</x:v>
      </x:c>
      <x:c r="E89" s="68" t="str">
        <x:v>Photos</x:v>
      </x:c>
      <x:c r="F89" s="68" t="str">
        <x:v>photos_identity_match_rate</x:v>
      </x:c>
      <x:c r="G89" s="68" t="str">
        <x:v>Photo Identity Match Rate</x:v>
      </x:c>
      <x:c r="H89" s="68" t="str">
        <x:v>photos_identity_match_rate</x:v>
      </x:c>
      <x:c r="I89" s="68" t="str">
        <x:v>是</x:v>
      </x:c>
      <x:c r="J89" s="68" t="str">
        <x:v>是</x:v>
      </x:c>
      <x:c r="K89" s="68" t="str">
        <x:v>exact</x:v>
      </x:c>
      <x:c r="L89" s="68" t="str">
        <x:v>否</x:v>
      </x:c>
      <x:c r="M89" s="68" t="str"/>
      <x:c r="N89" s="68" t="str">
        <x:v>0</x:v>
      </x:c>
      <x:c r="O89" s="74"/>
      <x:c r="P89" s="68" t="str">
        <x:v>NOT_APPLICABLE</x:v>
      </x:c>
      <x:c r="Q89" s="68" t="str">
        <x:v>BASELINE_FIELD_UNAVAILABLE</x:v>
      </x:c>
      <x:c r="R89" s="69" t="str">
        <x:f>IF(O89&lt;&gt;"","是","否")</x:f>
        <x:v>否</x:v>
      </x:c>
    </x:row>
    <x:row r="90">
      <x:c r="A90" s="67" t="str">
        <x:v>case-005</x:v>
      </x:c>
      <x:c r="B90" s="68" t="str">
        <x:v>Ben Carson</x:v>
      </x:c>
      <x:c r="C90" s="68" t="str">
        <x:v>public_figure:Q816459</x:v>
      </x:c>
      <x:c r="D90" s="68" t="n">
        <x:v>1</x:v>
      </x:c>
      <x:c r="E90" s="68" t="str">
        <x:v>Photos</x:v>
      </x:c>
      <x:c r="F90" s="68" t="str">
        <x:v>photos_match_photos</x:v>
      </x:c>
      <x:c r="G90" s="68" t="str">
        <x:v>Match Photos</x:v>
      </x:c>
      <x:c r="H90" s="68" t="str">
        <x:v>photos_match_photos</x:v>
      </x:c>
      <x:c r="I90" s="68" t="str">
        <x:v>否</x:v>
      </x:c>
      <x:c r="J90" s="68" t="str">
        <x:v>否</x:v>
      </x:c>
      <x:c r="K90" s="68" t="str">
        <x:v>set</x:v>
      </x:c>
      <x:c r="L90" s="68" t="str">
        <x:v>否</x:v>
      </x:c>
      <x:c r="M90" s="68" t="str"/>
      <x:c r="N90" s="68" t="str"/>
      <x:c r="O90" s="74"/>
      <x:c r="P90" s="68" t="str"/>
      <x:c r="Q90" s="68" t="str"/>
      <x:c r="R90" s="69" t="str">
        <x:f>IF(O90&lt;&gt;"","是","否")</x:f>
        <x:v>否</x:v>
      </x:c>
    </x:row>
    <x:row r="91">
      <x:c r="A91" s="67" t="str">
        <x:v>case-005</x:v>
      </x:c>
      <x:c r="B91" s="68" t="str">
        <x:v>Ben Carson</x:v>
      </x:c>
      <x:c r="C91" s="68" t="str">
        <x:v>public_figure:Q816459</x:v>
      </x:c>
      <x:c r="D91" s="68" t="n">
        <x:v>1</x:v>
      </x:c>
      <x:c r="E91" s="68" t="str">
        <x:v>Profile</x:v>
      </x:c>
      <x:c r="F91" s="68" t="str">
        <x:v>profile_status</x:v>
      </x:c>
      <x:c r="G91" s="68" t="str">
        <x:v>Profile Status</x:v>
      </x:c>
      <x:c r="H91" s="68" t="str">
        <x:v>profile_status</x:v>
      </x:c>
      <x:c r="I91" s="68" t="str">
        <x:v>否</x:v>
      </x:c>
      <x:c r="J91" s="68" t="str">
        <x:v>否</x:v>
      </x:c>
      <x:c r="K91" s="68" t="str">
        <x:v>normalized_text</x:v>
      </x:c>
      <x:c r="L91" s="68" t="str">
        <x:v>否</x:v>
      </x:c>
      <x:c r="M91" s="68" t="str"/>
      <x:c r="N91" s="68" t="str">
        <x:v>data</x:v>
      </x:c>
      <x:c r="O91" s="74"/>
      <x:c r="P91" s="68" t="str"/>
      <x:c r="Q91" s="68" t="str"/>
      <x:c r="R91" s="69" t="str">
        <x:f>IF(O91&lt;&gt;"","是","否")</x:f>
        <x:v>否</x:v>
      </x:c>
    </x:row>
    <x:row r="92">
      <x:c r="A92" s="67" t="str">
        <x:v>case-005</x:v>
      </x:c>
      <x:c r="B92" s="68" t="str">
        <x:v>Ben Carson</x:v>
      </x:c>
      <x:c r="C92" s="68" t="str">
        <x:v>public_figure:Q816459</x:v>
      </x:c>
      <x:c r="D92" s="68" t="n">
        <x:v>1</x:v>
      </x:c>
      <x:c r="E92" s="68" t="str">
        <x:v>Profile</x:v>
      </x:c>
      <x:c r="F92" s="68" t="str">
        <x:v>profile_full_name</x:v>
      </x:c>
      <x:c r="G92" s="68" t="str">
        <x:v>Profile Full Name</x:v>
      </x:c>
      <x:c r="H92" s="68" t="str">
        <x:v>profile_full_name</x:v>
      </x:c>
      <x:c r="I92" s="68" t="str">
        <x:v>是</x:v>
      </x:c>
      <x:c r="J92" s="68" t="str">
        <x:v>是</x:v>
      </x:c>
      <x:c r="K92" s="68" t="str">
        <x:v>normalized_text</x:v>
      </x:c>
      <x:c r="L92" s="68" t="str">
        <x:v>否</x:v>
      </x:c>
      <x:c r="M92" s="68" t="str"/>
      <x:c r="N92" s="68" t="str">
        <x:v>Ben Carson</x:v>
      </x:c>
      <x:c r="O92" s="74"/>
      <x:c r="P92" s="68" t="str">
        <x:v>NOT_APPLICABLE</x:v>
      </x:c>
      <x:c r="Q92" s="68" t="str">
        <x:v>BASELINE_FIELD_UNAVAILABLE</x:v>
      </x:c>
      <x:c r="R92" s="69" t="str">
        <x:f>IF(O92&lt;&gt;"","是","否")</x:f>
        <x:v>否</x:v>
      </x:c>
    </x:row>
    <x:row r="93">
      <x:c r="A93" s="67" t="str">
        <x:v>case-005</x:v>
      </x:c>
      <x:c r="B93" s="68" t="str">
        <x:v>Ben Carson</x:v>
      </x:c>
      <x:c r="C93" s="68" t="str">
        <x:v>public_figure:Q816459</x:v>
      </x:c>
      <x:c r="D93" s="68" t="n">
        <x:v>1</x:v>
      </x:c>
      <x:c r="E93" s="68" t="str">
        <x:v>Profile</x:v>
      </x:c>
      <x:c r="F93" s="68" t="str">
        <x:v>profile_age</x:v>
      </x:c>
      <x:c r="G93" s="68" t="str">
        <x:v>Profile Age</x:v>
      </x:c>
      <x:c r="H93" s="68" t="str">
        <x:v>profile_age</x:v>
      </x:c>
      <x:c r="I93" s="68" t="str">
        <x:v>是</x:v>
      </x:c>
      <x:c r="J93" s="68" t="str">
        <x:v>是</x:v>
      </x:c>
      <x:c r="K93" s="68" t="str">
        <x:v>exact</x:v>
      </x:c>
      <x:c r="L93" s="68" t="str">
        <x:v>否</x:v>
      </x:c>
      <x:c r="M93" s="68" t="str"/>
      <x:c r="N93" s="68" t="str">
        <x:v>74</x:v>
      </x:c>
      <x:c r="O93" s="74"/>
      <x:c r="P93" s="68" t="str">
        <x:v>NOT_APPLICABLE</x:v>
      </x:c>
      <x:c r="Q93" s="68" t="str">
        <x:v>BASELINE_FIELD_UNAVAILABLE</x:v>
      </x:c>
      <x:c r="R93" s="69" t="str">
        <x:f>IF(O93&lt;&gt;"","是","否")</x:f>
        <x:v>否</x:v>
      </x:c>
    </x:row>
    <x:row r="94">
      <x:c r="A94" s="67" t="str">
        <x:v>case-005</x:v>
      </x:c>
      <x:c r="B94" s="68" t="str">
        <x:v>Ben Carson</x:v>
      </x:c>
      <x:c r="C94" s="68" t="str">
        <x:v>public_figure:Q816459</x:v>
      </x:c>
      <x:c r="D94" s="68" t="n">
        <x:v>1</x:v>
      </x:c>
      <x:c r="E94" s="68" t="str">
        <x:v>Profile</x:v>
      </x:c>
      <x:c r="F94" s="68" t="str">
        <x:v>profile_location</x:v>
      </x:c>
      <x:c r="G94" s="68" t="str">
        <x:v>Profile Location</x:v>
      </x:c>
      <x:c r="H94" s="68" t="str">
        <x:v>profile_location</x:v>
      </x:c>
      <x:c r="I94" s="68" t="str">
        <x:v>是</x:v>
      </x:c>
      <x:c r="J94" s="68" t="str">
        <x:v>是</x:v>
      </x:c>
      <x:c r="K94" s="68" t="str">
        <x:v>semantic_text_lite</x:v>
      </x:c>
      <x:c r="L94" s="68" t="str">
        <x:v>否</x:v>
      </x:c>
      <x:c r="M94" s="68" t="str"/>
      <x:c r="N94" s="68" t="str">
        <x:v>United States</x:v>
      </x:c>
      <x:c r="O94" s="74"/>
      <x:c r="P94" s="68" t="str">
        <x:v>NOT_APPLICABLE</x:v>
      </x:c>
      <x:c r="Q94" s="68" t="str">
        <x:v>BASELINE_FIELD_UNAVAILABLE</x:v>
      </x:c>
      <x:c r="R94" s="69" t="str">
        <x:f>IF(O94&lt;&gt;"","是","否")</x:f>
        <x:v>否</x:v>
      </x:c>
    </x:row>
    <x:row r="95">
      <x:c r="A95" s="67" t="str">
        <x:v>case-005</x:v>
      </x:c>
      <x:c r="B95" s="68" t="str">
        <x:v>Ben Carson</x:v>
      </x:c>
      <x:c r="C95" s="68" t="str">
        <x:v>public_figure:Q816459</x:v>
      </x:c>
      <x:c r="D95" s="68" t="n">
        <x:v>1</x:v>
      </x:c>
      <x:c r="E95" s="68" t="str">
        <x:v>Profile</x:v>
      </x:c>
      <x:c r="F95" s="68" t="str">
        <x:v>profile_jobs</x:v>
      </x:c>
      <x:c r="G95" s="68" t="str">
        <x:v>Profile Current Role</x:v>
      </x:c>
      <x:c r="H95" s="68" t="str">
        <x:v>profile_jobs</x:v>
      </x:c>
      <x:c r="I95" s="68" t="str">
        <x:v>是</x:v>
      </x:c>
      <x:c r="J95" s="68" t="str">
        <x:v>是</x:v>
      </x:c>
      <x:c r="K95" s="68" t="str">
        <x:v>semantic_text_lite</x:v>
      </x:c>
      <x:c r="L95" s="68" t="str">
        <x:v>否</x:v>
      </x:c>
      <x:c r="M95" s="68" t="str"/>
      <x:c r="N95" s="68" t="str">
        <x:v>["psychologist","neurosurgeon; politician; university teacher; surgeon; writer; physician; Director of Pediatric Neurosurgery at Johns Hopkins Hospital; U.S. Secretary of Housing and Urban Development"]</x:v>
      </x:c>
      <x:c r="O95" s="74"/>
      <x:c r="P95" s="68" t="str">
        <x:v>NOT_APPLICABLE</x:v>
      </x:c>
      <x:c r="Q95" s="68" t="str">
        <x:v>BASELINE_FIELD_UNAVAILABLE</x:v>
      </x:c>
      <x:c r="R95" s="69" t="str">
        <x:f>IF(O95&lt;&gt;"","是","否")</x:f>
        <x:v>否</x:v>
      </x:c>
    </x:row>
    <x:row r="96">
      <x:c r="A96" s="67" t="str">
        <x:v>case-005</x:v>
      </x:c>
      <x:c r="B96" s="68" t="str">
        <x:v>Ben Carson</x:v>
      </x:c>
      <x:c r="C96" s="68" t="str">
        <x:v>public_figure:Q816459</x:v>
      </x:c>
      <x:c r="D96" s="68" t="n">
        <x:v>1</x:v>
      </x:c>
      <x:c r="E96" s="68" t="str">
        <x:v>Profile</x:v>
      </x:c>
      <x:c r="F96" s="68" t="str">
        <x:v>profile_education</x:v>
      </x:c>
      <x:c r="G96" s="68" t="str">
        <x:v>Profile Education</x:v>
      </x:c>
      <x:c r="H96" s="68" t="str">
        <x:v>profile_education</x:v>
      </x:c>
      <x:c r="I96" s="68" t="str">
        <x:v>是</x:v>
      </x:c>
      <x:c r="J96" s="68" t="str">
        <x:v>是</x:v>
      </x:c>
      <x:c r="K96" s="68" t="str">
        <x:v>semantic_text_lite</x:v>
      </x:c>
      <x:c r="L96" s="68" t="str">
        <x:v>否</x:v>
      </x:c>
      <x:c r="M96" s="68" t="str"/>
      <x:c r="N96" s="68" t="str">
        <x:v>University of Michigan</x:v>
      </x:c>
      <x:c r="O96" s="74"/>
      <x:c r="P96" s="68" t="str">
        <x:v>NOT_APPLICABLE</x:v>
      </x:c>
      <x:c r="Q96" s="68" t="str">
        <x:v>BASELINE_FIELD_UNAVAILABLE</x:v>
      </x:c>
      <x:c r="R96" s="69" t="str">
        <x:f>IF(O96&lt;&gt;"","是","否")</x:f>
        <x:v>否</x:v>
      </x:c>
    </x:row>
    <x:row r="97">
      <x:c r="A97" s="67" t="str">
        <x:v>case-005</x:v>
      </x:c>
      <x:c r="B97" s="68" t="str">
        <x:v>Ben Carson</x:v>
      </x:c>
      <x:c r="C97" s="68" t="str">
        <x:v>public_figure:Q816459</x:v>
      </x:c>
      <x:c r="D97" s="68" t="n">
        <x:v>1</x:v>
      </x:c>
      <x:c r="E97" s="68" t="str">
        <x:v>Social</x:v>
      </x:c>
      <x:c r="F97" s="68" t="str">
        <x:v>social_status</x:v>
      </x:c>
      <x:c r="G97" s="68" t="str">
        <x:v>Social Status</x:v>
      </x:c>
      <x:c r="H97" s="68" t="str">
        <x:v>social_status</x:v>
      </x:c>
      <x:c r="I97" s="68" t="str">
        <x:v>否</x:v>
      </x:c>
      <x:c r="J97" s="68" t="str">
        <x:v>否</x:v>
      </x:c>
      <x:c r="K97" s="68" t="str">
        <x:v>normalized_text</x:v>
      </x:c>
      <x:c r="L97" s="68" t="str">
        <x:v>否</x:v>
      </x:c>
      <x:c r="M97" s="68" t="str"/>
      <x:c r="N97" s="68" t="str">
        <x:v>data</x:v>
      </x:c>
      <x:c r="O97" s="74"/>
      <x:c r="P97" s="68" t="str"/>
      <x:c r="Q97" s="68" t="str"/>
      <x:c r="R97" s="69" t="str">
        <x:f>IF(O97&lt;&gt;"","是","否")</x:f>
        <x:v>否</x:v>
      </x:c>
    </x:row>
    <x:row r="98">
      <x:c r="A98" s="67" t="str">
        <x:v>case-005</x:v>
      </x:c>
      <x:c r="B98" s="68" t="str">
        <x:v>Ben Carson</x:v>
      </x:c>
      <x:c r="C98" s="68" t="str">
        <x:v>public_figure:Q816459</x:v>
      </x:c>
      <x:c r="D98" s="68" t="n">
        <x:v>1</x:v>
      </x:c>
      <x:c r="E98" s="68" t="str">
        <x:v>Social</x:v>
      </x:c>
      <x:c r="F98" s="68" t="str">
        <x:v>social_private_accounts</x:v>
      </x:c>
      <x:c r="G98" s="68" t="str">
        <x:v>Private Accounts</x:v>
      </x:c>
      <x:c r="H98" s="68" t="str">
        <x:v>social_private_accounts</x:v>
      </x:c>
      <x:c r="I98" s="68" t="str">
        <x:v>是</x:v>
      </x:c>
      <x:c r="J98" s="68" t="str">
        <x:v>是</x:v>
      </x:c>
      <x:c r="K98" s="68" t="str">
        <x:v>set</x:v>
      </x:c>
      <x:c r="L98" s="68" t="str">
        <x:v>否</x:v>
      </x:c>
      <x:c r="M98" s="68" t="str"/>
      <x:c r="N98" s="68" t="str"/>
      <x:c r="O98" s="74"/>
      <x:c r="P98" s="68" t="str">
        <x:v>NOT_APPLICABLE</x:v>
      </x:c>
      <x:c r="Q98" s="68" t="str">
        <x:v>BASELINE_FIELD_UNAVAILABLE</x:v>
      </x:c>
      <x:c r="R98" s="69" t="str">
        <x:f>IF(O98&lt;&gt;"","是","否")</x:f>
        <x:v>否</x:v>
      </x:c>
    </x:row>
    <x:row r="99">
      <x:c r="A99" s="67" t="str">
        <x:v>case-005</x:v>
      </x:c>
      <x:c r="B99" s="68" t="str">
        <x:v>Ben Carson</x:v>
      </x:c>
      <x:c r="C99" s="68" t="str">
        <x:v>public_figure:Q816459</x:v>
      </x:c>
      <x:c r="D99" s="68" t="n">
        <x:v>1</x:v>
      </x:c>
      <x:c r="E99" s="68" t="str">
        <x:v>Social</x:v>
      </x:c>
      <x:c r="F99" s="68" t="str">
        <x:v>social_display_handles</x:v>
      </x:c>
      <x:c r="G99" s="68" t="str">
        <x:v>Social Display Handles</x:v>
      </x:c>
      <x:c r="H99" s="68" t="str">
        <x:v>social_display_handles</x:v>
      </x:c>
      <x:c r="I99" s="68" t="str">
        <x:v>否</x:v>
      </x:c>
      <x:c r="J99" s="68" t="str">
        <x:v>否</x:v>
      </x:c>
      <x:c r="K99" s="68" t="str">
        <x:v>set</x:v>
      </x:c>
      <x:c r="L99" s="68" t="str">
        <x:v>是</x:v>
      </x:c>
      <x:c r="M99" s="68" t="str">
        <x:v>["RealBenCarson","realbencarson","UCg2yjMuc7YiHqQR8HGw2kiA"]</x:v>
      </x:c>
      <x:c r="N99" s="68" t="str">
        <x:v>["RealBenCarson","SecretaryCarson","realbencarson","channel"]</x:v>
      </x:c>
      <x:c r="O99" s="74"/>
      <x:c r="P99" s="68" t="str"/>
      <x:c r="Q99" s="68" t="str"/>
      <x:c r="R99" s="69" t="str">
        <x:f>IF(O99&lt;&gt;"","是","否")</x:f>
        <x:v>否</x:v>
      </x:c>
    </x:row>
    <x:row r="100">
      <x:c r="A100" s="67" t="str">
        <x:v>case-005</x:v>
      </x:c>
      <x:c r="B100" s="68" t="str">
        <x:v>Ben Carson</x:v>
      </x:c>
      <x:c r="C100" s="68" t="str">
        <x:v>public_figure:Q816459</x:v>
      </x:c>
      <x:c r="D100" s="68" t="n">
        <x:v>1</x:v>
      </x:c>
      <x:c r="E100" s="68" t="str">
        <x:v>Social</x:v>
      </x:c>
      <x:c r="F100" s="68" t="str">
        <x:v>social_platforms</x:v>
      </x:c>
      <x:c r="G100" s="68" t="str">
        <x:v>Social Platforms</x:v>
      </x:c>
      <x:c r="H100" s="68" t="str">
        <x:v>social_platforms</x:v>
      </x:c>
      <x:c r="I100" s="68" t="str">
        <x:v>否</x:v>
      </x:c>
      <x:c r="J100" s="68" t="str">
        <x:v>否</x:v>
      </x:c>
      <x:c r="K100" s="68" t="str">
        <x:v>set</x:v>
      </x:c>
      <x:c r="L100" s="68" t="str">
        <x:v>是</x:v>
      </x:c>
      <x:c r="M100" s="68" t="str">
        <x:v>["twitter","facebook","instagram","linkedin","youtube"]</x:v>
      </x:c>
      <x:c r="N100" s="68" t="str">
        <x:v>["x","instagram","facebook","youtube"]</x:v>
      </x:c>
      <x:c r="O100" s="74"/>
      <x:c r="P100" s="68" t="str"/>
      <x:c r="Q100" s="68" t="str"/>
      <x:c r="R100" s="69" t="str">
        <x:f>IF(O100&lt;&gt;"","是","否")</x:f>
        <x:v>否</x:v>
      </x:c>
    </x:row>
    <x:row r="101">
      <x:c r="A101" s="67" t="str">
        <x:v>case-005</x:v>
      </x:c>
      <x:c r="B101" s="68" t="str">
        <x:v>Ben Carson</x:v>
      </x:c>
      <x:c r="C101" s="68" t="str">
        <x:v>public_figure:Q816459</x:v>
      </x:c>
      <x:c r="D101" s="68" t="n">
        <x:v>1</x:v>
      </x:c>
      <x:c r="E101" s="68" t="str">
        <x:v>Social</x:v>
      </x:c>
      <x:c r="F101" s="68" t="str">
        <x:v>social_urls</x:v>
      </x:c>
      <x:c r="G101" s="68" t="str">
        <x:v>Social URLs</x:v>
      </x:c>
      <x:c r="H101" s="68" t="str">
        <x:v>social_urls</x:v>
      </x:c>
      <x:c r="I101" s="68" t="str">
        <x:v>是</x:v>
      </x:c>
      <x:c r="J101" s="68" t="str">
        <x:v>是</x:v>
      </x:c>
      <x:c r="K101" s="68" t="str">
        <x:v>url_set</x:v>
      </x:c>
      <x:c r="L101" s="68" t="str">
        <x:v>是</x:v>
      </x:c>
      <x:c r="M101" s="68" t="str">
        <x:v>["https://twitter.com/RealBenCarson","https://facebook.com/realbencarson","https://instagram.com/realbencarson","https://linkedin.com/in/realbencarson","https://youtube.com/channel/UCg2yjMuc7YiHqQR8HGw2kiA"]</x:v>
      </x:c>
      <x:c r="N101" s="68" t="str">
        <x:v>["https://twitter.com/realbencarson","https://twitter.com/secretarycarson","https://instagram.com/realbencarson","https://facebook.com/realbencarson","https://m.youtube.com/channel/UCxWET2F0fctmIwnGUP_8FMw"]</x:v>
      </x:c>
      <x:c r="O101" s="74" t="n">
        <x:v>0.6</x:v>
      </x:c>
      <x:c r="P101" s="68" t="str">
        <x:v>READY</x:v>
      </x:c>
      <x:c r="Q101" s="68" t="str">
        <x:v>READY</x:v>
      </x:c>
      <x:c r="R101" s="69" t="str">
        <x:f>IF(O101&lt;&gt;"","是","否")</x:f>
        <x:v>是</x:v>
      </x:c>
    </x:row>
    <x:row r="102">
      <x:c r="A102" s="67" t="str">
        <x:v>case-005</x:v>
      </x:c>
      <x:c r="B102" s="68" t="str">
        <x:v>Ben Carson</x:v>
      </x:c>
      <x:c r="C102" s="68" t="str">
        <x:v>public_figure:Q816459</x:v>
      </x:c>
      <x:c r="D102" s="68" t="n">
        <x:v>1</x:v>
      </x:c>
      <x:c r="E102" s="68" t="str">
        <x:v>Social</x:v>
      </x:c>
      <x:c r="F102" s="68" t="str">
        <x:v>social_usernames</x:v>
      </x:c>
      <x:c r="G102" s="68" t="str">
        <x:v>Social Usernames</x:v>
      </x:c>
      <x:c r="H102" s="68" t="str">
        <x:v>social_usernames</x:v>
      </x:c>
      <x:c r="I102" s="68" t="str">
        <x:v>否</x:v>
      </x:c>
      <x:c r="J102" s="68" t="str">
        <x:v>否</x:v>
      </x:c>
      <x:c r="K102" s="68" t="str">
        <x:v>set</x:v>
      </x:c>
      <x:c r="L102" s="68" t="str">
        <x:v>是</x:v>
      </x:c>
      <x:c r="M102" s="68" t="str">
        <x:v>["RealBenCarson","realbencarson","UCg2yjMuc7YiHqQR8HGw2kiA"]</x:v>
      </x:c>
      <x:c r="N102" s="68" t="str">
        <x:v>["SecretaryCarson","realbencarson","channel"]</x:v>
      </x:c>
      <x:c r="O102" s="74"/>
      <x:c r="P102" s="68" t="str"/>
      <x:c r="Q102" s="68" t="str"/>
      <x:c r="R102" s="69" t="str">
        <x:f>IF(O102&lt;&gt;"","是","否")</x:f>
        <x:v>否</x:v>
      </x:c>
    </x:row>
    <x:row r="103">
      <x:c r="A103" s="67" t="str">
        <x:v>case-005</x:v>
      </x:c>
      <x:c r="B103" s="68" t="str">
        <x:v>Ben Carson</x:v>
      </x:c>
      <x:c r="C103" s="68" t="str">
        <x:v>public_figure:Q816459</x:v>
      </x:c>
      <x:c r="D103" s="68" t="n">
        <x:v>1</x:v>
      </x:c>
      <x:c r="E103" s="68" t="str">
        <x:v>Summary</x:v>
      </x:c>
      <x:c r="F103" s="68" t="str">
        <x:v>summary_status</x:v>
      </x:c>
      <x:c r="G103" s="68" t="str">
        <x:v>Summary Status</x:v>
      </x:c>
      <x:c r="H103" s="68" t="str">
        <x:v>summary_status</x:v>
      </x:c>
      <x:c r="I103" s="68" t="str">
        <x:v>否</x:v>
      </x:c>
      <x:c r="J103" s="68" t="str">
        <x:v>否</x:v>
      </x:c>
      <x:c r="K103" s="68" t="str">
        <x:v>normalized_text</x:v>
      </x:c>
      <x:c r="L103" s="68" t="str">
        <x:v>否</x:v>
      </x:c>
      <x:c r="M103" s="68" t="str"/>
      <x:c r="N103" s="68" t="str">
        <x:v>data</x:v>
      </x:c>
      <x:c r="O103" s="74"/>
      <x:c r="P103" s="68" t="str"/>
      <x:c r="Q103" s="68" t="str"/>
      <x:c r="R103" s="69" t="str">
        <x:f>IF(O103&lt;&gt;"","是","否")</x:f>
        <x:v>否</x:v>
      </x:c>
    </x:row>
    <x:row r="104">
      <x:c r="A104" s="67" t="str">
        <x:v>case-005</x:v>
      </x:c>
      <x:c r="B104" s="68" t="str">
        <x:v>Ben Carson</x:v>
      </x:c>
      <x:c r="C104" s="68" t="str">
        <x:v>public_figure:Q816459</x:v>
      </x:c>
      <x:c r="D104" s="68" t="n">
        <x:v>1</x:v>
      </x:c>
      <x:c r="E104" s="68" t="str">
        <x:v>Summary</x:v>
      </x:c>
      <x:c r="F104" s="68" t="str">
        <x:v>summary_avatar_url</x:v>
      </x:c>
      <x:c r="G104" s="68" t="str">
        <x:v>Summary Avatar URL</x:v>
      </x:c>
      <x:c r="H104" s="68" t="str">
        <x:v>summary_avatar_url</x:v>
      </x:c>
      <x:c r="I104" s="68" t="str">
        <x:v>否</x:v>
      </x:c>
      <x:c r="J104" s="68" t="str">
        <x:v>是</x:v>
      </x:c>
      <x:c r="K104" s="68" t="str">
        <x:v>url_set</x:v>
      </x:c>
      <x:c r="L104" s="68" t="str">
        <x:v>是</x:v>
      </x:c>
      <x:c r="M104" s="68" t="str">
        <x:v>https://kg.diffbot.com/image/api/get?fetch=yes&amp;urls=g%3Cj7guSXzAoBWu.x0KwLZrUn.%5B%3CR0Aa4Hwygr9m6W%3Exl5G%60BkxmQ%3A%5C%7B0d%3Em%3AOY%7DLSi.A%5Dm,g%3Cj7P0St0DnBJf.x0KwLZrUn.%5B%3CR0Aa4Hh%3B%5Bv738ZqOr7U%3FCvrt%3EgS%3ALF%7Dl%3EPh7%7B%3FZ%3B.WvK,g%3Cj7P0St%7B6u.%5DyIn%7E.qNb%3D%5C%2FBR3Wfya6%40_%3Bj%3C%5E%3BUn5f3IdHiyBnF%5CrPlxpIp4bBmn%5C6We%3Ad5.N2J</x:v>
      </x:c>
      <x:c r="N104" s="68" t="str">
        <x:v>https://pbs.twimg.com/profile_images/855460305484337155/PXMvyP7D_normal.jpg</x:v>
      </x:c>
      <x:c r="O104" s="74"/>
      <x:c r="P104" s="68" t="str">
        <x:v>NOT_APPLICABLE</x:v>
      </x:c>
      <x:c r="Q104" s="68" t="str">
        <x:v>BASELINE_COMPARISON_DISABLED</x:v>
      </x:c>
      <x:c r="R104" s="69" t="str">
        <x:f>IF(O104&lt;&gt;"","是","否")</x:f>
        <x:v>否</x:v>
      </x:c>
    </x:row>
    <x:row r="105">
      <x:c r="A105" s="67" t="str">
        <x:v>case-005</x:v>
      </x:c>
      <x:c r="B105" s="68" t="str">
        <x:v>Ben Carson</x:v>
      </x:c>
      <x:c r="C105" s="68" t="str">
        <x:v>public_figure:Q816459</x:v>
      </x:c>
      <x:c r="D105" s="68" t="n">
        <x:v>1</x:v>
      </x:c>
      <x:c r="E105" s="68" t="str">
        <x:v>Summary</x:v>
      </x:c>
      <x:c r="F105" s="68" t="str">
        <x:v>candidate_confidence</x:v>
      </x:c>
      <x:c r="G105" s="68" t="str">
        <x:v>Summary Confidence Level</x:v>
      </x:c>
      <x:c r="H105" s="68" t="str">
        <x:v>candidate_confidence</x:v>
      </x:c>
      <x:c r="I105" s="68" t="str">
        <x:v>否</x:v>
      </x:c>
      <x:c r="J105" s="68" t="str">
        <x:v>否</x:v>
      </x:c>
      <x:c r="K105" s="68" t="str">
        <x:v>normalized_text</x:v>
      </x:c>
      <x:c r="L105" s="68" t="str">
        <x:v>否</x:v>
      </x:c>
      <x:c r="M105" s="68" t="str"/>
      <x:c r="N105" s="68" t="str">
        <x:v>HIGH</x:v>
      </x:c>
      <x:c r="O105" s="74"/>
      <x:c r="P105" s="68" t="str"/>
      <x:c r="Q105" s="68" t="str"/>
      <x:c r="R105" s="69" t="str">
        <x:f>IF(O105&lt;&gt;"","是","否")</x:f>
        <x:v>否</x:v>
      </x:c>
    </x:row>
    <x:row r="106">
      <x:c r="A106" s="67" t="str">
        <x:v>case-005</x:v>
      </x:c>
      <x:c r="B106" s="68" t="str">
        <x:v>Ben Carson</x:v>
      </x:c>
      <x:c r="C106" s="68" t="str">
        <x:v>public_figure:Q816459</x:v>
      </x:c>
      <x:c r="D106" s="68" t="n">
        <x:v>1</x:v>
      </x:c>
      <x:c r="E106" s="68" t="str">
        <x:v>Summary</x:v>
      </x:c>
      <x:c r="F106" s="68" t="str">
        <x:v>summary_is_best_match</x:v>
      </x:c>
      <x:c r="G106" s="68" t="str">
        <x:v>Summary Is Best Match</x:v>
      </x:c>
      <x:c r="H106" s="68" t="str">
        <x:v>summary_is_best_match</x:v>
      </x:c>
      <x:c r="I106" s="68" t="str">
        <x:v>否</x:v>
      </x:c>
      <x:c r="J106" s="68" t="str">
        <x:v>否</x:v>
      </x:c>
      <x:c r="K106" s="68" t="str">
        <x:v>exact</x:v>
      </x:c>
      <x:c r="L106" s="68" t="str">
        <x:v>否</x:v>
      </x:c>
      <x:c r="M106" s="68" t="str"/>
      <x:c r="N106" s="68" t="str">
        <x:v>true</x:v>
      </x:c>
      <x:c r="O106" s="74"/>
      <x:c r="P106" s="68" t="str"/>
      <x:c r="Q106" s="68" t="str"/>
      <x:c r="R106" s="69" t="str">
        <x:f>IF(O106&lt;&gt;"","是","否")</x:f>
        <x:v>否</x:v>
      </x:c>
    </x:row>
    <x:row r="107">
      <x:c r="A107" s="70" t="str">
        <x:v>case-005</x:v>
      </x:c>
      <x:c r="B107" s="71" t="str">
        <x:v>Ben Carson</x:v>
      </x:c>
      <x:c r="C107" s="71" t="str">
        <x:v>public_figure:Q816459</x:v>
      </x:c>
      <x:c r="D107" s="71" t="n">
        <x:v>1</x:v>
      </x:c>
      <x:c r="E107" s="71" t="str">
        <x:v>Summary</x:v>
      </x:c>
      <x:c r="F107" s="71" t="str">
        <x:v>summary_is_top_result</x:v>
      </x:c>
      <x:c r="G107" s="71" t="str">
        <x:v>Summary Is Top Result</x:v>
      </x:c>
      <x:c r="H107" s="71" t="str">
        <x:v>summary_is_top_result</x:v>
      </x:c>
      <x:c r="I107" s="71" t="str">
        <x:v>否</x:v>
      </x:c>
      <x:c r="J107" s="71" t="str">
        <x:v>否</x:v>
      </x:c>
      <x:c r="K107" s="71" t="str">
        <x:v>exact</x:v>
      </x:c>
      <x:c r="L107" s="71" t="str">
        <x:v>否</x:v>
      </x:c>
      <x:c r="M107" s="71" t="str"/>
      <x:c r="N107" s="71" t="str">
        <x:v>true</x:v>
      </x:c>
      <x:c r="O107" s="75"/>
      <x:c r="P107" s="71" t="str"/>
      <x:c r="Q107" s="71" t="str"/>
      <x:c r="R107" s="72" t="str">
        <x:f>IF(O107&lt;&gt;"","是","否")</x:f>
        <x:v>否</x:v>
      </x:c>
    </x:row>
  </x:sheetData>
  <x:mergeCells>
    <x:mergeCell ref="A1:R1"/>
  </x:mergeCells>
  <x:conditionalFormatting sqref="O4:O107">
    <x:cfRule type="cellIs" dxfId="1" priority="1" operator="lessThan">
      <x:formula>0.6</x:formula>
    </x:cfRule>
    <x:cfRule type="cellIs" dxfId="2" priority="2" operator="greaterThanOrEqual">
      <x:formula>0.8</x:formula>
    </x:cfRule>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28" hidden="0" customWidth="1"/>
    <x:col min="4" max="4" width="28" hidden="0" customWidth="1"/>
    <x:col min="5" max="5" width="14" hidden="0" customWidth="1"/>
    <x:col min="6" max="6" width="13" hidden="0" customWidth="1"/>
    <x:col min="7" max="7" width="20" hidden="0" customWidth="1"/>
    <x:col min="8" max="8" width="14" hidden="0" customWidth="1"/>
    <x:col min="9" max="9" width="48" hidden="0" customWidth="1"/>
    <x:col min="10" max="10" width="16" hidden="0" customWidth="1"/>
    <x:col min="11" max="11" width="18" hidden="0" customWidth="1"/>
    <x:col min="12" max="12" width="42" hidden="0" customWidth="1"/>
    <x:col min="13" max="13" width="13" hidden="0" customWidth="1"/>
    <x:col min="14" max="14" width="12" hidden="0" customWidth="1"/>
  </x:cols>
  <x:sheetData>
    <x:row r="1" ht="28" customHeight="1">
      <x:c r="A1" s="79" t="str">
        <x:v>字段评分资格与基准覆盖情况</x:v>
      </x:c>
      <x:c r="B1" s="79" t="str">
        <x:v>字段评分资格与基准覆盖情况</x:v>
      </x:c>
      <x:c r="C1" s="79" t="str">
        <x:v>字段评分资格与基准覆盖情况</x:v>
      </x:c>
      <x:c r="D1" s="79" t="str">
        <x:v>字段评分资格与基准覆盖情况</x:v>
      </x:c>
      <x:c r="E1" s="79" t="str">
        <x:v>字段评分资格与基准覆盖情况</x:v>
      </x:c>
      <x:c r="F1" s="79" t="str">
        <x:v>字段评分资格与基准覆盖情况</x:v>
      </x:c>
      <x:c r="G1" s="79" t="str">
        <x:v>字段评分资格与基准覆盖情况</x:v>
      </x:c>
      <x:c r="H1" s="79" t="str">
        <x:v>字段评分资格与基准覆盖情况</x:v>
      </x:c>
      <x:c r="I1" s="79" t="str">
        <x:v>字段评分资格与基准覆盖情况</x:v>
      </x:c>
      <x:c r="J1" s="79" t="str">
        <x:v>字段评分资格与基准覆盖情况</x:v>
      </x:c>
      <x:c r="K1" s="79" t="str">
        <x:v>字段评分资格与基准覆盖情况</x:v>
      </x:c>
      <x:c r="L1" s="79" t="str">
        <x:v>字段评分资格与基准覆盖情况</x:v>
      </x:c>
      <x:c r="M1" s="79" t="str">
        <x:v>字段评分资格与基准覆盖情况</x:v>
      </x:c>
      <x:c r="N1" s="79" t="str">
        <x:v>字段评分资格与基准覆盖情况</x:v>
      </x:c>
    </x:row>
    <x:row r="2">
      <x:c r="A2" s="80"/>
      <x:c r="B2" s="80"/>
      <x:c r="C2" s="80"/>
      <x:c r="D2" s="80"/>
      <x:c r="E2" s="80"/>
      <x:c r="F2" s="80"/>
      <x:c r="G2" s="80"/>
      <x:c r="H2" s="80"/>
      <x:c r="I2" s="80"/>
      <x:c r="J2" s="80"/>
      <x:c r="K2" s="80"/>
      <x:c r="L2" s="80"/>
      <x:c r="M2" s="80"/>
      <x:c r="N2" s="80"/>
    </x:row>
    <x:row r="3" ht="32" customHeight="1">
      <x:c r="A3" s="81" t="str">
        <x:v>模块</x:v>
      </x:c>
      <x:c r="B3" s="81" t="str">
        <x:v>字段键</x:v>
      </x:c>
      <x:c r="C3" s="81" t="str">
        <x:v>字段名称</x:v>
      </x:c>
      <x:c r="D3" s="81" t="str">
        <x:v>Schema 基准键</x:v>
      </x:c>
      <x:c r="E3" s="81" t="str">
        <x:v>开启基准对比</x:v>
      </x:c>
      <x:c r="F3" s="81" t="str">
        <x:v>开启准确度</x:v>
      </x:c>
      <x:c r="G3" s="81" t="str">
        <x:v>比对方式</x:v>
      </x:c>
      <x:c r="H3" s="81" t="str">
        <x:v>基准有值人数</x:v>
      </x:c>
      <x:c r="I3" s="81" t="str">
        <x:v>基准样例</x:v>
      </x:c>
      <x:c r="J3" s="81" t="str">
        <x:v>候选人有值人数</x:v>
      </x:c>
      <x:c r="K3" s="81" t="str">
        <x:v>状态</x:v>
      </x:c>
      <x:c r="L3" s="81" t="str">
        <x:v>问题/说明</x:v>
      </x:c>
      <x:c r="M3" s="81" t="str">
        <x:v>身份字段</x:v>
      </x:c>
      <x:c r="N3" s="81" t="str">
        <x:v>值范围</x:v>
      </x:c>
    </x:row>
    <x:row r="4">
      <x:c r="A4" s="64" t="str">
        <x:v>Insights</x:v>
      </x:c>
      <x:c r="B4" s="65" t="str">
        <x:v>insights_description</x:v>
      </x:c>
      <x:c r="C4" s="65" t="str">
        <x:v>Insights Description</x:v>
      </x:c>
      <x:c r="D4" s="65" t="str">
        <x:v>insights_description</x:v>
      </x:c>
      <x:c r="E4" s="65" t="str">
        <x:v>是</x:v>
      </x:c>
      <x:c r="F4" s="65" t="str">
        <x:v>是</x:v>
      </x:c>
      <x:c r="G4" s="65" t="str">
        <x:v>semantic_text_lite</x:v>
      </x:c>
      <x:c r="H4" s="65" t="n">
        <x:v>5</x:v>
      </x:c>
      <x:c r="I4" s="65" t="str">
        <x:v>["Akim Smiley is a seasoned professional in data engineering and technology consulting with extensive experience in the energy sector. Currently serving as the Lead Data Engineer …</x:v>
      </x:c>
      <x:c r="J4" s="65" t="n">
        <x:v>3</x:v>
      </x:c>
      <x:c r="K4" s="65" t="str">
        <x:v>COMPARABLE</x:v>
      </x:c>
      <x:c r="L4" s="65" t="str"/>
      <x:c r="M4" s="65" t="str">
        <x:v>否</x:v>
      </x:c>
      <x:c r="N4" s="66" t="str">
        <x:v>CANDIDATE</x:v>
      </x:c>
    </x:row>
    <x:row r="5">
      <x:c r="A5" s="67" t="str">
        <x:v>Insights</x:v>
      </x:c>
      <x:c r="B5" s="68" t="str">
        <x:v>insights_links</x:v>
      </x:c>
      <x:c r="C5" s="68" t="str">
        <x:v>Insights Links</x:v>
      </x:c>
      <x:c r="D5" s="68" t="str">
        <x:v>insights_links</x:v>
      </x:c>
      <x:c r="E5" s="68" t="str">
        <x:v>是</x:v>
      </x:c>
      <x:c r="F5" s="68" t="str">
        <x:v>是</x:v>
      </x:c>
      <x:c r="G5" s="68" t="str">
        <x:v>set</x:v>
      </x:c>
      <x:c r="H5" s="68" t="n">
        <x:v>5</x:v>
      </x:c>
      <x:c r="I5" s="68" t="str">
        <x:v>["https://theorg.com/org/devon-energy/org-chart/akim-smiley","https://theorg.com/org/devon-energy/team/akim-smiley"]</x:v>
      </x:c>
      <x:c r="J5" s="68" t="n">
        <x:v>3</x:v>
      </x:c>
      <x:c r="K5" s="68" t="str">
        <x:v>STRUCTURE_MISMATCH</x:v>
      </x:c>
      <x:c r="L5" s="68" t="str">
        <x:v>Baseline 与 Candidate 结构不一致：['array_string'] / ['array_array_object']</x:v>
      </x:c>
      <x:c r="M5" s="68" t="str">
        <x:v>否</x:v>
      </x:c>
      <x:c r="N5" s="69" t="str">
        <x:v>CANDIDATE</x:v>
      </x:c>
    </x:row>
    <x:row r="6">
      <x:c r="A6" s="67" t="str">
        <x:v>Photos</x:v>
      </x:c>
      <x:c r="B6" s="68" t="str">
        <x:v>photos_baseline_photo_url</x:v>
      </x:c>
      <x:c r="C6" s="68" t="str">
        <x:v>Baseline Photo URL</x:v>
      </x:c>
      <x:c r="D6" s="68" t="str">
        <x:v>photos_baseline_photo_url</x:v>
      </x:c>
      <x:c r="E6" s="68" t="str">
        <x:v>是</x:v>
      </x:c>
      <x:c r="F6" s="68" t="str">
        <x:v>是</x:v>
      </x:c>
      <x:c r="G6" s="68" t="str">
        <x:v>url_set</x:v>
      </x:c>
      <x:c r="H6" s="68" t="n">
        <x:v>5</x:v>
      </x:c>
      <x:c r="I6" s="68" t="str">
        <x:v>https://kg.diffbot.com/image/api/get?fetch=yes&amp;urls=g%3Cj7P0Stn8p.%5DjEp9G.Bd%7Bks4mRO5O%2F-h%5CW%7D-Ze%5EN-CgNj-gzCoEWpUp7R%60zN_%3Cb4E.A%5Dm</x:v>
      </x:c>
      <x:c r="J6" s="68" t="n">
        <x:v>5</x:v>
      </x:c>
      <x:c r="K6" s="68" t="str">
        <x:v>COMPARABLE</x:v>
      </x:c>
      <x:c r="L6" s="68" t="str"/>
      <x:c r="M6" s="68" t="str">
        <x:v>否</x:v>
      </x:c>
      <x:c r="N6" s="69" t="str">
        <x:v>CANDIDATE</x:v>
      </x:c>
    </x:row>
    <x:row r="7">
      <x:c r="A7" s="67" t="str">
        <x:v>Photos</x:v>
      </x:c>
      <x:c r="B7" s="68" t="str">
        <x:v>photos_identity_match_rate</x:v>
      </x:c>
      <x:c r="C7" s="68" t="str">
        <x:v>Photo Identity Match Rate</x:v>
      </x:c>
      <x:c r="D7" s="68" t="str">
        <x:v>photos_identity_match_rate</x:v>
      </x:c>
      <x:c r="E7" s="68" t="str">
        <x:v>是</x:v>
      </x:c>
      <x:c r="F7" s="68" t="str">
        <x:v>是</x:v>
      </x:c>
      <x:c r="G7" s="68" t="str">
        <x:v>exact</x:v>
      </x:c>
      <x:c r="H7" s="68" t="n">
        <x:v>0</x:v>
      </x:c>
      <x:c r="I7" s="68" t="str"/>
      <x:c r="J7" s="68" t="n">
        <x:v>5</x:v>
      </x:c>
      <x:c r="K7" s="68" t="str">
        <x:v>COMPARABLE</x:v>
      </x:c>
      <x:c r="L7" s="68" t="str"/>
      <x:c r="M7" s="68" t="str">
        <x:v>是</x:v>
      </x:c>
      <x:c r="N7" s="69" t="str">
        <x:v>CANDIDATE</x:v>
      </x:c>
    </x:row>
    <x:row r="8">
      <x:c r="A8" s="67" t="str">
        <x:v>Profile</x:v>
      </x:c>
      <x:c r="B8" s="68" t="str">
        <x:v>profile_status</x:v>
      </x:c>
      <x:c r="C8" s="68" t="str">
        <x:v>Profile Status</x:v>
      </x:c>
      <x:c r="D8" s="68" t="str">
        <x:v>profile_status</x:v>
      </x:c>
      <x:c r="E8" s="68" t="str">
        <x:v>否</x:v>
      </x:c>
      <x:c r="F8" s="68" t="str">
        <x:v>否</x:v>
      </x:c>
      <x:c r="G8" s="68" t="str">
        <x:v>normalized_text</x:v>
      </x:c>
      <x:c r="H8" s="68" t="n">
        <x:v>0</x:v>
      </x:c>
      <x:c r="I8" s="68" t="str"/>
      <x:c r="J8" s="68" t="n">
        <x:v>11</x:v>
      </x:c>
      <x:c r="K8" s="68" t="str">
        <x:v>DISPLAY_ONLY</x:v>
      </x:c>
      <x:c r="L8" s="68" t="str">
        <x:v>Candidate 已提取，但字段仅用于展示</x:v>
      </x:c>
      <x:c r="M8" s="68" t="str">
        <x:v>否</x:v>
      </x:c>
      <x:c r="N8" s="69" t="str">
        <x:v>CANDIDATE</x:v>
      </x:c>
    </x:row>
    <x:row r="9">
      <x:c r="A9" s="67" t="str">
        <x:v>Profile</x:v>
      </x:c>
      <x:c r="B9" s="68" t="str">
        <x:v>profile_data</x:v>
      </x:c>
      <x:c r="C9" s="68" t="str">
        <x:v>Profile Data</x:v>
      </x:c>
      <x:c r="D9" s="68" t="str">
        <x:v>profile_data</x:v>
      </x:c>
      <x:c r="E9" s="68" t="str">
        <x:v>否</x:v>
      </x:c>
      <x:c r="F9" s="68" t="str">
        <x:v>否</x:v>
      </x:c>
      <x:c r="G9" s="68" t="str">
        <x:v>set</x:v>
      </x:c>
      <x:c r="H9" s="68" t="n">
        <x:v>5</x:v>
      </x:c>
      <x:c r="I9" s="68" t="str">
        <x:v>{"background":{"education":["University of Connecticut School of Business · Bachelor's (4 year program)"],"languages":[],"skills":["requirement gathering","requirement analysis","…</x:v>
      </x:c>
      <x:c r="J9" s="68" t="n">
        <x:v>0</x:v>
      </x:c>
      <x:c r="K9" s="68" t="str">
        <x:v>BASELINE_ENABLED_NOT_EXTRACTED</x:v>
      </x:c>
      <x:c r="L9" s="68" t="str">
        <x:v>Baseline 已启用，但 Candidate 未配置提取</x:v>
      </x:c>
      <x:c r="M9" s="68" t="str">
        <x:v>否</x:v>
      </x:c>
      <x:c r="N9" s="69" t="str">
        <x:v>CANDIDATE</x:v>
      </x:c>
    </x:row>
    <x:row r="10">
      <x:c r="A10" s="67" t="str">
        <x:v>Profile</x:v>
      </x:c>
      <x:c r="B10" s="68" t="str">
        <x:v>profile_sections</x:v>
      </x:c>
      <x:c r="C10" s="68" t="str">
        <x:v>Profile Sections</x:v>
      </x:c>
      <x:c r="D10" s="68" t="str">
        <x:v>profile_sections</x:v>
      </x:c>
      <x:c r="E10" s="68" t="str">
        <x:v>否</x:v>
      </x:c>
      <x:c r="F10" s="68" t="str">
        <x:v>否</x:v>
      </x:c>
      <x:c r="G10" s="68" t="str">
        <x:v>set</x:v>
      </x:c>
      <x:c r="H10" s="68" t="n">
        <x:v>5</x:v>
      </x:c>
      <x:c r="I10" s="68" t="str">
        <x:v>[{"items":[{"label":"Full Name","value":"Akim Smiley"},{"label":"Age","value":50},{"label":"Gender","value":"Male"},{"label":"Location","value":"Oklahoma City, Oklahoma Area"}],"t…</x:v>
      </x:c>
      <x:c r="J10" s="68" t="n">
        <x:v>0</x:v>
      </x:c>
      <x:c r="K10" s="68" t="str">
        <x:v>BASELINE_ENABLED_NOT_EXTRACTED</x:v>
      </x:c>
      <x:c r="L10" s="68" t="str">
        <x:v>Baseline 已启用，但 Candidate 未配置提取</x:v>
      </x:c>
      <x:c r="M10" s="68" t="str">
        <x:v>否</x:v>
      </x:c>
      <x:c r="N10" s="69" t="str">
        <x:v>CANDIDATE</x:v>
      </x:c>
    </x:row>
    <x:row r="11">
      <x:c r="A11" s="67" t="str">
        <x:v>Profile</x:v>
      </x:c>
      <x:c r="B11" s="68" t="str">
        <x:v>profile_full_name</x:v>
      </x:c>
      <x:c r="C11" s="68" t="str">
        <x:v>Profile Full Name</x:v>
      </x:c>
      <x:c r="D11" s="68" t="str">
        <x:v>profile_full_name</x:v>
      </x:c>
      <x:c r="E11" s="68" t="str">
        <x:v>是</x:v>
      </x:c>
      <x:c r="F11" s="68" t="str">
        <x:v>是</x:v>
      </x:c>
      <x:c r="G11" s="68" t="str">
        <x:v>normalized_text</x:v>
      </x:c>
      <x:c r="H11" s="68" t="n">
        <x:v>0</x:v>
      </x:c>
      <x:c r="I11" s="68" t="str"/>
      <x:c r="J11" s="68" t="n">
        <x:v>11</x:v>
      </x:c>
      <x:c r="K11" s="68" t="str">
        <x:v>COMPARABLE</x:v>
      </x:c>
      <x:c r="L11" s="68" t="str"/>
      <x:c r="M11" s="68" t="str">
        <x:v>否</x:v>
      </x:c>
      <x:c r="N11" s="69" t="str">
        <x:v>CANDIDATE</x:v>
      </x:c>
    </x:row>
    <x:row r="12">
      <x:c r="A12" s="67" t="str">
        <x:v>Profile</x:v>
      </x:c>
      <x:c r="B12" s="68" t="str">
        <x:v>profile_age</x:v>
      </x:c>
      <x:c r="C12" s="68" t="str">
        <x:v>Profile Age</x:v>
      </x:c>
      <x:c r="D12" s="68" t="str">
        <x:v>profile_age</x:v>
      </x:c>
      <x:c r="E12" s="68" t="str">
        <x:v>是</x:v>
      </x:c>
      <x:c r="F12" s="68" t="str">
        <x:v>是</x:v>
      </x:c>
      <x:c r="G12" s="68" t="str">
        <x:v>exact</x:v>
      </x:c>
      <x:c r="H12" s="68" t="n">
        <x:v>0</x:v>
      </x:c>
      <x:c r="I12" s="68" t="str"/>
      <x:c r="J12" s="68" t="n">
        <x:v>3</x:v>
      </x:c>
      <x:c r="K12" s="68" t="str">
        <x:v>COMPARABLE</x:v>
      </x:c>
      <x:c r="L12" s="68" t="str"/>
      <x:c r="M12" s="68" t="str">
        <x:v>否</x:v>
      </x:c>
      <x:c r="N12" s="69" t="str">
        <x:v>CANDIDATE</x:v>
      </x:c>
    </x:row>
    <x:row r="13">
      <x:c r="A13" s="67" t="str">
        <x:v>Profile</x:v>
      </x:c>
      <x:c r="B13" s="68" t="str">
        <x:v>profile_location</x:v>
      </x:c>
      <x:c r="C13" s="68" t="str">
        <x:v>Profile Location</x:v>
      </x:c>
      <x:c r="D13" s="68" t="str">
        <x:v>profile_location</x:v>
      </x:c>
      <x:c r="E13" s="68" t="str">
        <x:v>是</x:v>
      </x:c>
      <x:c r="F13" s="68" t="str">
        <x:v>是</x:v>
      </x:c>
      <x:c r="G13" s="68" t="str">
        <x:v>semantic_text_lite</x:v>
      </x:c>
      <x:c r="H13" s="68" t="n">
        <x:v>0</x:v>
      </x:c>
      <x:c r="I13" s="68" t="str"/>
      <x:c r="J13" s="68" t="n">
        <x:v>7</x:v>
      </x:c>
      <x:c r="K13" s="68" t="str">
        <x:v>COMPARABLE</x:v>
      </x:c>
      <x:c r="L13" s="68" t="str"/>
      <x:c r="M13" s="68" t="str">
        <x:v>否</x:v>
      </x:c>
      <x:c r="N13" s="69" t="str">
        <x:v>CANDIDATE</x:v>
      </x:c>
    </x:row>
    <x:row r="14">
      <x:c r="A14" s="67" t="str">
        <x:v>Profile</x:v>
      </x:c>
      <x:c r="B14" s="68" t="str">
        <x:v>profile_jobs</x:v>
      </x:c>
      <x:c r="C14" s="68" t="str">
        <x:v>Profile Current Role</x:v>
      </x:c>
      <x:c r="D14" s="68" t="str">
        <x:v>profile_jobs</x:v>
      </x:c>
      <x:c r="E14" s="68" t="str">
        <x:v>是</x:v>
      </x:c>
      <x:c r="F14" s="68" t="str">
        <x:v>是</x:v>
      </x:c>
      <x:c r="G14" s="68" t="str">
        <x:v>semantic_text_lite</x:v>
      </x:c>
      <x:c r="H14" s="68" t="n">
        <x:v>0</x:v>
      </x:c>
      <x:c r="I14" s="68" t="str"/>
      <x:c r="J14" s="68" t="n">
        <x:v>4</x:v>
      </x:c>
      <x:c r="K14" s="68" t="str">
        <x:v>COMPARABLE</x:v>
      </x:c>
      <x:c r="L14" s="68" t="str"/>
      <x:c r="M14" s="68" t="str">
        <x:v>否</x:v>
      </x:c>
      <x:c r="N14" s="69" t="str">
        <x:v>CANDIDATE</x:v>
      </x:c>
    </x:row>
    <x:row r="15">
      <x:c r="A15" s="67" t="str">
        <x:v>Profile</x:v>
      </x:c>
      <x:c r="B15" s="68" t="str">
        <x:v>profile_education</x:v>
      </x:c>
      <x:c r="C15" s="68" t="str">
        <x:v>Profile Education</x:v>
      </x:c>
      <x:c r="D15" s="68" t="str">
        <x:v>profile_education</x:v>
      </x:c>
      <x:c r="E15" s="68" t="str">
        <x:v>是</x:v>
      </x:c>
      <x:c r="F15" s="68" t="str">
        <x:v>是</x:v>
      </x:c>
      <x:c r="G15" s="68" t="str">
        <x:v>semantic_text_lite</x:v>
      </x:c>
      <x:c r="H15" s="68" t="n">
        <x:v>0</x:v>
      </x:c>
      <x:c r="I15" s="68" t="str"/>
      <x:c r="J15" s="68" t="n">
        <x:v>5</x:v>
      </x:c>
      <x:c r="K15" s="68" t="str">
        <x:v>COMPARABLE</x:v>
      </x:c>
      <x:c r="L15" s="68" t="str"/>
      <x:c r="M15" s="68" t="str">
        <x:v>否</x:v>
      </x:c>
      <x:c r="N15" s="69" t="str">
        <x:v>CANDIDATE</x:v>
      </x:c>
    </x:row>
    <x:row r="16">
      <x:c r="A16" s="67" t="str">
        <x:v>Social</x:v>
      </x:c>
      <x:c r="B16" s="68" t="str">
        <x:v>social_private_accounts</x:v>
      </x:c>
      <x:c r="C16" s="68" t="str">
        <x:v>Private Accounts</x:v>
      </x:c>
      <x:c r="D16" s="68" t="str">
        <x:v>social_private_accounts</x:v>
      </x:c>
      <x:c r="E16" s="68" t="str">
        <x:v>是</x:v>
      </x:c>
      <x:c r="F16" s="68" t="str">
        <x:v>是</x:v>
      </x:c>
      <x:c r="G16" s="68" t="str">
        <x:v>set</x:v>
      </x:c>
      <x:c r="H16" s="68" t="n">
        <x:v>0</x:v>
      </x:c>
      <x:c r="I16" s="68" t="str"/>
      <x:c r="J16" s="68" t="n">
        <x:v>0</x:v>
      </x:c>
      <x:c r="K16" s="68" t="str">
        <x:v>NO_CANDIDATE_DATA</x:v>
      </x:c>
      <x:c r="L16" s="68" t="str">
        <x:v>当前 Process 没有返回该字段</x:v>
      </x:c>
      <x:c r="M16" s="68" t="str">
        <x:v>否</x:v>
      </x:c>
      <x:c r="N16" s="69" t="str">
        <x:v>CANDIDATE</x:v>
      </x:c>
    </x:row>
    <x:row r="17">
      <x:c r="A17" s="67" t="str">
        <x:v>Social</x:v>
      </x:c>
      <x:c r="B17" s="68" t="str">
        <x:v>social_urls</x:v>
      </x:c>
      <x:c r="C17" s="68" t="str">
        <x:v>Social URLs</x:v>
      </x:c>
      <x:c r="D17" s="68" t="str">
        <x:v>social_urls</x:v>
      </x:c>
      <x:c r="E17" s="68" t="str">
        <x:v>是</x:v>
      </x:c>
      <x:c r="F17" s="68" t="str">
        <x:v>是</x:v>
      </x:c>
      <x:c r="G17" s="68" t="str">
        <x:v>url_set</x:v>
      </x:c>
      <x:c r="H17" s="68" t="n">
        <x:v>5</x:v>
      </x:c>
      <x:c r="I17" s="68" t="str">
        <x:v>["https://linkedin.com/in/akim-smiley-624b895"]</x:v>
      </x:c>
      <x:c r="J17" s="68" t="n">
        <x:v>7</x:v>
      </x:c>
      <x:c r="K17" s="68" t="str">
        <x:v>COMPARABLE</x:v>
      </x:c>
      <x:c r="L17" s="68" t="str"/>
      <x:c r="M17" s="68" t="str">
        <x:v>是</x:v>
      </x:c>
      <x:c r="N17" s="69" t="str">
        <x:v>CANDIDATE</x:v>
      </x:c>
    </x:row>
    <x:row r="18">
      <x:c r="A18" s="67" t="str">
        <x:v>Summary</x:v>
      </x:c>
      <x:c r="B18" s="68" t="str">
        <x:v>summary_status</x:v>
      </x:c>
      <x:c r="C18" s="68" t="str">
        <x:v>Summary Status</x:v>
      </x:c>
      <x:c r="D18" s="68" t="str">
        <x:v>summary_status</x:v>
      </x:c>
      <x:c r="E18" s="68" t="str">
        <x:v>否</x:v>
      </x:c>
      <x:c r="F18" s="68" t="str">
        <x:v>否</x:v>
      </x:c>
      <x:c r="G18" s="68" t="str">
        <x:v>normalized_text</x:v>
      </x:c>
      <x:c r="H18" s="68" t="n">
        <x:v>0</x:v>
      </x:c>
      <x:c r="I18" s="68" t="str"/>
      <x:c r="J18" s="68" t="n">
        <x:v>11</x:v>
      </x:c>
      <x:c r="K18" s="68" t="str">
        <x:v>DISPLAY_ONLY</x:v>
      </x:c>
      <x:c r="L18" s="68" t="str">
        <x:v>Candidate 已提取，但字段仅用于展示</x:v>
      </x:c>
      <x:c r="M18" s="68" t="str">
        <x:v>否</x:v>
      </x:c>
      <x:c r="N18" s="69" t="str">
        <x:v>CANDIDATE</x:v>
      </x:c>
    </x:row>
    <x:row r="19">
      <x:c r="A19" s="67" t="str">
        <x:v>Summary</x:v>
      </x:c>
      <x:c r="B19" s="68" t="str">
        <x:v>summary_age</x:v>
      </x:c>
      <x:c r="C19" s="68" t="str">
        <x:v>Summary Age</x:v>
      </x:c>
      <x:c r="D19" s="68" t="str">
        <x:v>summary_age</x:v>
      </x:c>
      <x:c r="E19" s="68" t="str">
        <x:v>否</x:v>
      </x:c>
      <x:c r="F19" s="68" t="str">
        <x:v>否</x:v>
      </x:c>
      <x:c r="G19" s="68" t="str">
        <x:v>exact</x:v>
      </x:c>
      <x:c r="H19" s="68" t="n">
        <x:v>5</x:v>
      </x:c>
      <x:c r="I19" s="68" t="str">
        <x:v>50</x:v>
      </x:c>
      <x:c r="J19" s="68" t="n">
        <x:v>0</x:v>
      </x:c>
      <x:c r="K19" s="68" t="str">
        <x:v>BASELINE_ENABLED_NOT_EXTRACTED</x:v>
      </x:c>
      <x:c r="L19" s="68" t="str">
        <x:v>Baseline 已启用，但 Candidate 未配置提取</x:v>
      </x:c>
      <x:c r="M19" s="68" t="str">
        <x:v>否</x:v>
      </x:c>
      <x:c r="N19" s="69" t="str">
        <x:v>CANDIDATE</x:v>
      </x:c>
    </x:row>
    <x:row r="20">
      <x:c r="A20" s="67" t="str">
        <x:v>Summary</x:v>
      </x:c>
      <x:c r="B20" s="68" t="str">
        <x:v>summary_avatar_url</x:v>
      </x:c>
      <x:c r="C20" s="68" t="str">
        <x:v>Summary Avatar URL</x:v>
      </x:c>
      <x:c r="D20" s="68" t="str">
        <x:v>summary_avatar_url</x:v>
      </x:c>
      <x:c r="E20" s="68" t="str">
        <x:v>否</x:v>
      </x:c>
      <x:c r="F20" s="68" t="str">
        <x:v>是</x:v>
      </x:c>
      <x:c r="G20" s="68" t="str">
        <x:v>url_set</x:v>
      </x:c>
      <x:c r="H20" s="68" t="n">
        <x:v>5</x:v>
      </x:c>
      <x:c r="I20" s="68" t="str">
        <x:v>https://kg.diffbot.com/image/api/get?fetch=yes&amp;urls=g%3Cj7P0Stn8p.%5DjEp9G.Bd%7Bks4mRO5O%2F-h%5CW%7D-Ze%5EN-CgNj-gzCoEWpUp7R%60zN_%3Cb4E.A%5Dm</x:v>
      </x:c>
      <x:c r="J20" s="68" t="n">
        <x:v>6</x:v>
      </x:c>
      <x:c r="K20" s="68" t="str">
        <x:v>COMPARABLE</x:v>
      </x:c>
      <x:c r="L20" s="68" t="str"/>
      <x:c r="M20" s="68" t="str">
        <x:v>否</x:v>
      </x:c>
      <x:c r="N20" s="69" t="str">
        <x:v>CANDIDATE</x:v>
      </x:c>
    </x:row>
    <x:row r="21">
      <x:c r="A21" s="67" t="str">
        <x:v>Summary</x:v>
      </x:c>
      <x:c r="B21" s="68" t="str">
        <x:v>summary_candidate_id</x:v>
      </x:c>
      <x:c r="C21" s="68" t="str">
        <x:v>Summary Candidate ID</x:v>
      </x:c>
      <x:c r="D21" s="68" t="str">
        <x:v>summary_candidate_id</x:v>
      </x:c>
      <x:c r="E21" s="68" t="str">
        <x:v>否</x:v>
      </x:c>
      <x:c r="F21" s="68" t="str">
        <x:v>否</x:v>
      </x:c>
      <x:c r="G21" s="68" t="str">
        <x:v>normalized_text</x:v>
      </x:c>
      <x:c r="H21" s="68" t="n">
        <x:v>0</x:v>
      </x:c>
      <x:c r="I21" s="68" t="str"/>
      <x:c r="J21" s="68" t="n">
        <x:v>0</x:v>
      </x:c>
      <x:c r="K21" s="68" t="str">
        <x:v>DISPLAY_ONLY</x:v>
      </x:c>
      <x:c r="L21" s="68" t="str"/>
      <x:c r="M21" s="68" t="str">
        <x:v>否</x:v>
      </x:c>
      <x:c r="N21" s="69" t="str">
        <x:v>CANDIDATE</x:v>
      </x:c>
    </x:row>
    <x:row r="22">
      <x:c r="A22" s="67" t="str">
        <x:v>Summary</x:v>
      </x:c>
      <x:c r="B22" s="68" t="str">
        <x:v>summary_disclaimers</x:v>
      </x:c>
      <x:c r="C22" s="68" t="str">
        <x:v>Summary Disclaimers</x:v>
      </x:c>
      <x:c r="D22" s="68" t="str">
        <x:v>summary_disclaimers</x:v>
      </x:c>
      <x:c r="E22" s="68" t="str">
        <x:v>否</x:v>
      </x:c>
      <x:c r="F22" s="68" t="str">
        <x:v>否</x:v>
      </x:c>
      <x:c r="G22" s="68" t="str">
        <x:v>set</x:v>
      </x:c>
      <x:c r="H22" s="68" t="n">
        <x:v>0</x:v>
      </x:c>
      <x:c r="I22" s="68" t="str"/>
      <x:c r="J22" s="68" t="n">
        <x:v>0</x:v>
      </x:c>
      <x:c r="K22" s="68" t="str">
        <x:v>DISPLAY_ONLY</x:v>
      </x:c>
      <x:c r="L22" s="68" t="str"/>
      <x:c r="M22" s="68" t="str">
        <x:v>否</x:v>
      </x:c>
      <x:c r="N22" s="69" t="str">
        <x:v>CANDIDATE</x:v>
      </x:c>
    </x:row>
    <x:row r="23">
      <x:c r="A23" s="67" t="str">
        <x:v>Summary</x:v>
      </x:c>
      <x:c r="B23" s="68" t="str">
        <x:v>summary_display_name</x:v>
      </x:c>
      <x:c r="C23" s="68" t="str">
        <x:v>Summary Display Name</x:v>
      </x:c>
      <x:c r="D23" s="68" t="str">
        <x:v>summary_display_name</x:v>
      </x:c>
      <x:c r="E23" s="68" t="str">
        <x:v>否</x:v>
      </x:c>
      <x:c r="F23" s="68" t="str">
        <x:v>否</x:v>
      </x:c>
      <x:c r="G23" s="68" t="str">
        <x:v>normalized_text</x:v>
      </x:c>
      <x:c r="H23" s="68" t="n">
        <x:v>5</x:v>
      </x:c>
      <x:c r="I23" s="68" t="str">
        <x:v>Akim Smiley</x:v>
      </x:c>
      <x:c r="J23" s="68" t="n">
        <x:v>0</x:v>
      </x:c>
      <x:c r="K23" s="68" t="str">
        <x:v>BASELINE_ENABLED_NOT_EXTRACTED</x:v>
      </x:c>
      <x:c r="L23" s="68" t="str">
        <x:v>Baseline 已启用，但 Candidate 未配置提取</x:v>
      </x:c>
      <x:c r="M23" s="68" t="str">
        <x:v>否</x:v>
      </x:c>
      <x:c r="N23" s="69" t="str">
        <x:v>CANDIDATE</x:v>
      </x:c>
    </x:row>
    <x:row r="24">
      <x:c r="A24" s="67" t="str">
        <x:v>Summary</x:v>
      </x:c>
      <x:c r="B24" s="68" t="str">
        <x:v>summary_education</x:v>
      </x:c>
      <x:c r="C24" s="68" t="str">
        <x:v>Summary Education</x:v>
      </x:c>
      <x:c r="D24" s="68" t="str">
        <x:v>summary_education</x:v>
      </x:c>
      <x:c r="E24" s="68" t="str">
        <x:v>否</x:v>
      </x:c>
      <x:c r="F24" s="68" t="str">
        <x:v>否</x:v>
      </x:c>
      <x:c r="G24" s="68" t="str">
        <x:v>semantic_text_lite</x:v>
      </x:c>
      <x:c r="H24" s="68" t="n">
        <x:v>5</x:v>
      </x:c>
      <x:c r="I24" s="68" t="str">
        <x:v>University of Connecticut School of Business · Bachelor's (4 year program)</x:v>
      </x:c>
      <x:c r="J24" s="68" t="n">
        <x:v>0</x:v>
      </x:c>
      <x:c r="K24" s="68" t="str">
        <x:v>BASELINE_ENABLED_NOT_EXTRACTED</x:v>
      </x:c>
      <x:c r="L24" s="68" t="str">
        <x:v>Baseline 已启用，但 Candidate 未配置提取</x:v>
      </x:c>
      <x:c r="M24" s="68" t="str">
        <x:v>否</x:v>
      </x:c>
      <x:c r="N24" s="69" t="str">
        <x:v>CANDIDATE</x:v>
      </x:c>
    </x:row>
    <x:row r="25">
      <x:c r="A25" s="67" t="str">
        <x:v>Summary</x:v>
      </x:c>
      <x:c r="B25" s="68" t="str">
        <x:v>summary_generate_time</x:v>
      </x:c>
      <x:c r="C25" s="68" t="str">
        <x:v>Summary Generate Time</x:v>
      </x:c>
      <x:c r="D25" s="68" t="str">
        <x:v>summary_generate_time</x:v>
      </x:c>
      <x:c r="E25" s="68" t="str">
        <x:v>否</x:v>
      </x:c>
      <x:c r="F25" s="68" t="str">
        <x:v>否</x:v>
      </x:c>
      <x:c r="G25" s="68" t="str">
        <x:v>normalized_text</x:v>
      </x:c>
      <x:c r="H25" s="68" t="n">
        <x:v>0</x:v>
      </x:c>
      <x:c r="I25" s="68" t="str"/>
      <x:c r="J25" s="68" t="n">
        <x:v>0</x:v>
      </x:c>
      <x:c r="K25" s="68" t="str">
        <x:v>DISPLAY_ONLY</x:v>
      </x:c>
      <x:c r="L25" s="68" t="str"/>
      <x:c r="M25" s="68" t="str">
        <x:v>否</x:v>
      </x:c>
      <x:c r="N25" s="69" t="str">
        <x:v>CANDIDATE</x:v>
      </x:c>
    </x:row>
    <x:row r="26">
      <x:c r="A26" s="67" t="str">
        <x:v>Summary</x:v>
      </x:c>
      <x:c r="B26" s="68" t="str">
        <x:v>summary_headline</x:v>
      </x:c>
      <x:c r="C26" s="68" t="str">
        <x:v>Summary Headline</x:v>
      </x:c>
      <x:c r="D26" s="68" t="str">
        <x:v>summary_headline</x:v>
      </x:c>
      <x:c r="E26" s="68" t="str">
        <x:v>否</x:v>
      </x:c>
      <x:c r="F26" s="68" t="str">
        <x:v>否</x:v>
      </x:c>
      <x:c r="G26" s="68" t="str">
        <x:v>semantic_text_lite</x:v>
      </x:c>
      <x:c r="H26" s="68" t="n">
        <x:v>0</x:v>
      </x:c>
      <x:c r="I26" s="68" t="str"/>
      <x:c r="J26" s="68" t="n">
        <x:v>0</x:v>
      </x:c>
      <x:c r="K26" s="68" t="str">
        <x:v>DISPLAY_ONLY</x:v>
      </x:c>
      <x:c r="L26" s="68" t="str"/>
      <x:c r="M26" s="68" t="str">
        <x:v>否</x:v>
      </x:c>
      <x:c r="N26" s="69" t="str">
        <x:v>CANDIDATE</x:v>
      </x:c>
    </x:row>
    <x:row r="27">
      <x:c r="A27" s="67" t="str">
        <x:v>Summary</x:v>
      </x:c>
      <x:c r="B27" s="68" t="str">
        <x:v>summary_is_best_match</x:v>
      </x:c>
      <x:c r="C27" s="68" t="str">
        <x:v>Summary Is Best Match</x:v>
      </x:c>
      <x:c r="D27" s="68" t="str">
        <x:v>summary_is_best_match</x:v>
      </x:c>
      <x:c r="E27" s="68" t="str">
        <x:v>否</x:v>
      </x:c>
      <x:c r="F27" s="68" t="str">
        <x:v>否</x:v>
      </x:c>
      <x:c r="G27" s="68" t="str">
        <x:v>exact</x:v>
      </x:c>
      <x:c r="H27" s="68" t="n">
        <x:v>0</x:v>
      </x:c>
      <x:c r="I27" s="68" t="str"/>
      <x:c r="J27" s="68" t="n">
        <x:v>11</x:v>
      </x:c>
      <x:c r="K27" s="68" t="str">
        <x:v>DISPLAY_ONLY</x:v>
      </x:c>
      <x:c r="L27" s="68" t="str">
        <x:v>Candidate 已提取，但字段仅用于展示</x:v>
      </x:c>
      <x:c r="M27" s="68" t="str">
        <x:v>否</x:v>
      </x:c>
      <x:c r="N27" s="69" t="str">
        <x:v>CANDIDATE</x:v>
      </x:c>
    </x:row>
    <x:row r="28">
      <x:c r="A28" s="67" t="str">
        <x:v>Summary</x:v>
      </x:c>
      <x:c r="B28" s="68" t="str">
        <x:v>summary_is_top_result</x:v>
      </x:c>
      <x:c r="C28" s="68" t="str">
        <x:v>Summary Is Top Result</x:v>
      </x:c>
      <x:c r="D28" s="68" t="str">
        <x:v>summary_is_top_result</x:v>
      </x:c>
      <x:c r="E28" s="68" t="str">
        <x:v>否</x:v>
      </x:c>
      <x:c r="F28" s="68" t="str">
        <x:v>否</x:v>
      </x:c>
      <x:c r="G28" s="68" t="str">
        <x:v>exact</x:v>
      </x:c>
      <x:c r="H28" s="68" t="n">
        <x:v>0</x:v>
      </x:c>
      <x:c r="I28" s="68" t="str"/>
      <x:c r="J28" s="68" t="n">
        <x:v>11</x:v>
      </x:c>
      <x:c r="K28" s="68" t="str">
        <x:v>DISPLAY_ONLY</x:v>
      </x:c>
      <x:c r="L28" s="68" t="str">
        <x:v>Candidate 已提取，但字段仅用于展示</x:v>
      </x:c>
      <x:c r="M28" s="68" t="str">
        <x:v>否</x:v>
      </x:c>
      <x:c r="N28" s="69" t="str">
        <x:v>CANDIDATE</x:v>
      </x:c>
    </x:row>
    <x:row r="29">
      <x:c r="A29" s="67" t="str">
        <x:v>Summary</x:v>
      </x:c>
      <x:c r="B29" s="68" t="str">
        <x:v>summary_jobs</x:v>
      </x:c>
      <x:c r="C29" s="68" t="str">
        <x:v>Summary Jobs</x:v>
      </x:c>
      <x:c r="D29" s="68" t="str">
        <x:v>summary_jobs</x:v>
      </x:c>
      <x:c r="E29" s="68" t="str">
        <x:v>否</x:v>
      </x:c>
      <x:c r="F29" s="68" t="str">
        <x:v>否</x:v>
      </x:c>
      <x:c r="G29" s="68" t="str">
        <x:v>semantic_text_lite</x:v>
      </x:c>
      <x:c r="H29" s="68" t="n">
        <x:v>5</x:v>
      </x:c>
      <x:c r="I29" s="68" t="str">
        <x:v>["Senior Applications Developer/Analyst @ Chesapeake Energy","Technical Lead @ Vitech Systems Group","Senior Consultant @ Deloitte","Senior Technology Consultant @ BearingPoint","…</x:v>
      </x:c>
      <x:c r="J29" s="68" t="n">
        <x:v>0</x:v>
      </x:c>
      <x:c r="K29" s="68" t="str">
        <x:v>BASELINE_ENABLED_NOT_EXTRACTED</x:v>
      </x:c>
      <x:c r="L29" s="68" t="str">
        <x:v>Baseline 已启用，但 Candidate 未配置提取</x:v>
      </x:c>
      <x:c r="M29" s="68" t="str">
        <x:v>否</x:v>
      </x:c>
      <x:c r="N29" s="69" t="str">
        <x:v>CANDIDATE</x:v>
      </x:c>
    </x:row>
    <x:row r="30">
      <x:c r="A30" s="67" t="str">
        <x:v>Summary</x:v>
      </x:c>
      <x:c r="B30" s="68" t="str">
        <x:v>summary_location</x:v>
      </x:c>
      <x:c r="C30" s="68" t="str">
        <x:v>Summary Location</x:v>
      </x:c>
      <x:c r="D30" s="68" t="str">
        <x:v>summary_location</x:v>
      </x:c>
      <x:c r="E30" s="68" t="str">
        <x:v>否</x:v>
      </x:c>
      <x:c r="F30" s="68" t="str">
        <x:v>否</x:v>
      </x:c>
      <x:c r="G30" s="68" t="str">
        <x:v>semantic_text_lite</x:v>
      </x:c>
      <x:c r="H30" s="68" t="n">
        <x:v>5</x:v>
      </x:c>
      <x:c r="I30" s="68" t="str">
        <x:v>Oklahoma City, Oklahoma Area</x:v>
      </x:c>
      <x:c r="J30" s="68" t="n">
        <x:v>0</x:v>
      </x:c>
      <x:c r="K30" s="68" t="str">
        <x:v>BASELINE_ENABLED_NOT_EXTRACTED</x:v>
      </x:c>
      <x:c r="L30" s="68" t="str">
        <x:v>Baseline 已启用，但 Candidate 未配置提取</x:v>
      </x:c>
      <x:c r="M30" s="68" t="str">
        <x:v>否</x:v>
      </x:c>
      <x:c r="N30" s="69" t="str">
        <x:v>CANDIDATE</x:v>
      </x:c>
    </x:row>
    <x:row r="31">
      <x:c r="A31" s="67" t="str">
        <x:v>Summary</x:v>
      </x:c>
      <x:c r="B31" s="68" t="str">
        <x:v>summary_match_reasons</x:v>
      </x:c>
      <x:c r="C31" s="68" t="str">
        <x:v>Summary Match Reasons</x:v>
      </x:c>
      <x:c r="D31" s="68" t="str">
        <x:v>summary_match_reasons</x:v>
      </x:c>
      <x:c r="E31" s="68" t="str">
        <x:v>否</x:v>
      </x:c>
      <x:c r="F31" s="68" t="str">
        <x:v>否</x:v>
      </x:c>
      <x:c r="G31" s="68" t="str">
        <x:v>set</x:v>
      </x:c>
      <x:c r="H31" s="68" t="n">
        <x:v>0</x:v>
      </x:c>
      <x:c r="I31" s="68" t="str"/>
      <x:c r="J31" s="68" t="n">
        <x:v>0</x:v>
      </x:c>
      <x:c r="K31" s="68" t="str">
        <x:v>DISPLAY_ONLY</x:v>
      </x:c>
      <x:c r="L31" s="68" t="str"/>
      <x:c r="M31" s="68" t="str">
        <x:v>否</x:v>
      </x:c>
      <x:c r="N31" s="69" t="str">
        <x:v>CANDIDATE</x:v>
      </x:c>
    </x:row>
    <x:row r="32">
      <x:c r="A32" s="67" t="str">
        <x:v>Summary</x:v>
      </x:c>
      <x:c r="B32" s="68" t="str">
        <x:v>summary_match_score</x:v>
      </x:c>
      <x:c r="C32" s="68" t="str">
        <x:v>Summary Match Score</x:v>
      </x:c>
      <x:c r="D32" s="68" t="str">
        <x:v>summary_match_score</x:v>
      </x:c>
      <x:c r="E32" s="68" t="str">
        <x:v>否</x:v>
      </x:c>
      <x:c r="F32" s="68" t="str">
        <x:v>否</x:v>
      </x:c>
      <x:c r="G32" s="68" t="str">
        <x:v>exact</x:v>
      </x:c>
      <x:c r="H32" s="68" t="n">
        <x:v>0</x:v>
      </x:c>
      <x:c r="I32" s="68" t="str"/>
      <x:c r="J32" s="68" t="n">
        <x:v>0</x:v>
      </x:c>
      <x:c r="K32" s="68" t="str">
        <x:v>DISPLAY_ONLY</x:v>
      </x:c>
      <x:c r="L32" s="68" t="str"/>
      <x:c r="M32" s="68" t="str">
        <x:v>否</x:v>
      </x:c>
      <x:c r="N32" s="69" t="str">
        <x:v>CANDIDATE</x:v>
      </x:c>
    </x:row>
    <x:row r="33">
      <x:c r="A33" s="67" t="str">
        <x:v>Summary</x:v>
      </x:c>
      <x:c r="B33" s="68" t="str">
        <x:v>summary_more_social_count</x:v>
      </x:c>
      <x:c r="C33" s="68" t="str">
        <x:v>More Social Count</x:v>
      </x:c>
      <x:c r="D33" s="68" t="str">
        <x:v>summary_more_social_count</x:v>
      </x:c>
      <x:c r="E33" s="68" t="str">
        <x:v>否</x:v>
      </x:c>
      <x:c r="F33" s="68" t="str">
        <x:v>否</x:v>
      </x:c>
      <x:c r="G33" s="68" t="str">
        <x:v>exact</x:v>
      </x:c>
      <x:c r="H33" s="68" t="n">
        <x:v>0</x:v>
      </x:c>
      <x:c r="I33" s="68" t="str"/>
      <x:c r="J33" s="68" t="n">
        <x:v>0</x:v>
      </x:c>
      <x:c r="K33" s="68" t="str">
        <x:v>DISPLAY_ONLY</x:v>
      </x:c>
      <x:c r="L33" s="68" t="str"/>
      <x:c r="M33" s="68" t="str">
        <x:v>否</x:v>
      </x:c>
      <x:c r="N33" s="69" t="str">
        <x:v>CANDIDATE</x:v>
      </x:c>
    </x:row>
    <x:row r="34">
      <x:c r="A34" s="67" t="str">
        <x:v>Summary</x:v>
      </x:c>
      <x:c r="B34" s="68" t="str">
        <x:v>summary_person_id</x:v>
      </x:c>
      <x:c r="C34" s="68" t="str">
        <x:v>Summary Person ID</x:v>
      </x:c>
      <x:c r="D34" s="68" t="str">
        <x:v>summary_person_id</x:v>
      </x:c>
      <x:c r="E34" s="68" t="str">
        <x:v>否</x:v>
      </x:c>
      <x:c r="F34" s="68" t="str">
        <x:v>否</x:v>
      </x:c>
      <x:c r="G34" s="68" t="str">
        <x:v>normalized_text</x:v>
      </x:c>
      <x:c r="H34" s="68" t="n">
        <x:v>0</x:v>
      </x:c>
      <x:c r="I34" s="68" t="str"/>
      <x:c r="J34" s="68" t="n">
        <x:v>0</x:v>
      </x:c>
      <x:c r="K34" s="68" t="str">
        <x:v>DISPLAY_ONLY</x:v>
      </x:c>
      <x:c r="L34" s="68" t="str"/>
      <x:c r="M34" s="68" t="str">
        <x:v>否</x:v>
      </x:c>
      <x:c r="N34" s="69" t="str">
        <x:v>CANDIDATE</x:v>
      </x:c>
    </x:row>
    <x:row r="35">
      <x:c r="A35" s="67" t="str">
        <x:v>Summary</x:v>
      </x:c>
      <x:c r="B35" s="68" t="str">
        <x:v>summary_primary_image</x:v>
      </x:c>
      <x:c r="C35" s="68" t="str">
        <x:v>Summary Primary Image</x:v>
      </x:c>
      <x:c r="D35" s="68" t="str">
        <x:v>summary_primary_image</x:v>
      </x:c>
      <x:c r="E35" s="68" t="str">
        <x:v>否</x:v>
      </x:c>
      <x:c r="F35" s="68" t="str">
        <x:v>否</x:v>
      </x:c>
      <x:c r="G35" s="68" t="str">
        <x:v>set</x:v>
      </x:c>
      <x:c r="H35" s="68" t="n">
        <x:v>0</x:v>
      </x:c>
      <x:c r="I35" s="68" t="str"/>
      <x:c r="J35" s="68" t="n">
        <x:v>0</x:v>
      </x:c>
      <x:c r="K35" s="68" t="str">
        <x:v>DISPLAY_ONLY</x:v>
      </x:c>
      <x:c r="L35" s="68" t="str"/>
      <x:c r="M35" s="68" t="str">
        <x:v>否</x:v>
      </x:c>
      <x:c r="N35" s="69" t="str">
        <x:v>CANDIDATE</x:v>
      </x:c>
    </x:row>
    <x:row r="36">
      <x:c r="A36" s="67" t="str">
        <x:v>Summary</x:v>
      </x:c>
      <x:c r="B36" s="68" t="str">
        <x:v>summary_profile_url</x:v>
      </x:c>
      <x:c r="C36" s="68" t="str">
        <x:v>Summary Profile URL</x:v>
      </x:c>
      <x:c r="D36" s="68" t="str">
        <x:v>summary_profile_url</x:v>
      </x:c>
      <x:c r="E36" s="68" t="str">
        <x:v>否</x:v>
      </x:c>
      <x:c r="F36" s="68" t="str">
        <x:v>否</x:v>
      </x:c>
      <x:c r="G36" s="68" t="str">
        <x:v>url_set</x:v>
      </x:c>
      <x:c r="H36" s="68" t="n">
        <x:v>5</x:v>
      </x:c>
      <x:c r="I36" s="68" t="str">
        <x:v>https://linkedin.com/in/akim-smiley-624b895</x:v>
      </x:c>
      <x:c r="J36" s="68" t="n">
        <x:v>0</x:v>
      </x:c>
      <x:c r="K36" s="68" t="str">
        <x:v>BASELINE_ENABLED_NOT_EXTRACTED</x:v>
      </x:c>
      <x:c r="L36" s="68" t="str">
        <x:v>Baseline 已启用，但 Candidate 未配置提取</x:v>
      </x:c>
      <x:c r="M36" s="68" t="str">
        <x:v>否</x:v>
      </x:c>
      <x:c r="N36" s="69" t="str">
        <x:v>CANDIDATE</x:v>
      </x:c>
    </x:row>
    <x:row r="37">
      <x:c r="A37" s="67" t="str">
        <x:v>Summary</x:v>
      </x:c>
      <x:c r="B37" s="68" t="str">
        <x:v>summary_report_expires_at</x:v>
      </x:c>
      <x:c r="C37" s="68" t="str">
        <x:v>Summary Report Expires At</x:v>
      </x:c>
      <x:c r="D37" s="68" t="str">
        <x:v>summary_report_expires_at</x:v>
      </x:c>
      <x:c r="E37" s="68" t="str">
        <x:v>否</x:v>
      </x:c>
      <x:c r="F37" s="68" t="str">
        <x:v>否</x:v>
      </x:c>
      <x:c r="G37" s="68" t="str">
        <x:v>normalized_text</x:v>
      </x:c>
      <x:c r="H37" s="68" t="n">
        <x:v>0</x:v>
      </x:c>
      <x:c r="I37" s="68" t="str"/>
      <x:c r="J37" s="68" t="n">
        <x:v>0</x:v>
      </x:c>
      <x:c r="K37" s="68" t="str">
        <x:v>DISPLAY_ONLY</x:v>
      </x:c>
      <x:c r="L37" s="68" t="str"/>
      <x:c r="M37" s="68" t="str">
        <x:v>否</x:v>
      </x:c>
      <x:c r="N37" s="69" t="str">
        <x:v>CANDIDATE</x:v>
      </x:c>
    </x:row>
    <x:row r="38">
      <x:c r="A38" s="67" t="str">
        <x:v>Summary</x:v>
      </x:c>
      <x:c r="B38" s="68" t="str">
        <x:v>summary_social_platforms</x:v>
      </x:c>
      <x:c r="C38" s="68" t="str">
        <x:v>Summary Social Platforms</x:v>
      </x:c>
      <x:c r="D38" s="68" t="str">
        <x:v>summary_social_platforms</x:v>
      </x:c>
      <x:c r="E38" s="68" t="str">
        <x:v>否</x:v>
      </x:c>
      <x:c r="F38" s="68" t="str">
        <x:v>否</x:v>
      </x:c>
      <x:c r="G38" s="68" t="str">
        <x:v>set</x:v>
      </x:c>
      <x:c r="H38" s="68" t="n">
        <x:v>0</x:v>
      </x:c>
      <x:c r="I38" s="68" t="str"/>
      <x:c r="J38" s="68" t="n">
        <x:v>0</x:v>
      </x:c>
      <x:c r="K38" s="68" t="str">
        <x:v>DISPLAY_ONLY</x:v>
      </x:c>
      <x:c r="L38" s="68" t="str"/>
      <x:c r="M38" s="68" t="str">
        <x:v>否</x:v>
      </x:c>
      <x:c r="N38" s="69" t="str">
        <x:v>CANDIDATE</x:v>
      </x:c>
    </x:row>
    <x:row r="39">
      <x:c r="A39" s="67" t="str">
        <x:v>Summary</x:v>
      </x:c>
      <x:c r="B39" s="68" t="str">
        <x:v>summary_social_titles</x:v>
      </x:c>
      <x:c r="C39" s="68" t="str">
        <x:v>Summary Social Titles</x:v>
      </x:c>
      <x:c r="D39" s="68" t="str">
        <x:v>summary_social_titles</x:v>
      </x:c>
      <x:c r="E39" s="68" t="str">
        <x:v>否</x:v>
      </x:c>
      <x:c r="F39" s="68" t="str">
        <x:v>否</x:v>
      </x:c>
      <x:c r="G39" s="68" t="str">
        <x:v>set</x:v>
      </x:c>
      <x:c r="H39" s="68" t="n">
        <x:v>0</x:v>
      </x:c>
      <x:c r="I39" s="68" t="str"/>
      <x:c r="J39" s="68" t="n">
        <x:v>0</x:v>
      </x:c>
      <x:c r="K39" s="68" t="str">
        <x:v>DISPLAY_ONLY</x:v>
      </x:c>
      <x:c r="L39" s="68" t="str"/>
      <x:c r="M39" s="68" t="str">
        <x:v>否</x:v>
      </x:c>
      <x:c r="N39" s="69" t="str">
        <x:v>CANDIDATE</x:v>
      </x:c>
    </x:row>
    <x:row r="40">
      <x:c r="A40" s="67" t="str">
        <x:v>Summary</x:v>
      </x:c>
      <x:c r="B40" s="68" t="str">
        <x:v>summary_social_links</x:v>
      </x:c>
      <x:c r="C40" s="68" t="str">
        <x:v>Summary Social Links</x:v>
      </x:c>
      <x:c r="D40" s="68" t="str">
        <x:v>summary_social_links</x:v>
      </x:c>
      <x:c r="E40" s="68" t="str">
        <x:v>否</x:v>
      </x:c>
      <x:c r="F40" s="68" t="str">
        <x:v>否</x:v>
      </x:c>
      <x:c r="G40" s="68" t="str">
        <x:v>url_set</x:v>
      </x:c>
      <x:c r="H40" s="68" t="n">
        <x:v>5</x:v>
      </x:c>
      <x:c r="I40" s="68" t="str">
        <x:v>["https://linkedin.com/in/akim-smiley-624b895"]</x:v>
      </x:c>
      <x:c r="J40" s="68" t="n">
        <x:v>0</x:v>
      </x:c>
      <x:c r="K40" s="68" t="str">
        <x:v>BASELINE_ENABLED_NOT_EXTRACTED</x:v>
      </x:c>
      <x:c r="L40" s="68" t="str">
        <x:v>Baseline 已启用，但 Candidate 未配置提取</x:v>
      </x:c>
      <x:c r="M40" s="68" t="str">
        <x:v>否</x:v>
      </x:c>
      <x:c r="N40" s="69" t="str">
        <x:v>CANDIDATE</x:v>
      </x:c>
    </x:row>
    <x:row r="41">
      <x:c r="A41" s="67" t="str">
        <x:v>Summary</x:v>
      </x:c>
      <x:c r="B41" s="68" t="str">
        <x:v>summary_social_platform_list</x:v>
      </x:c>
      <x:c r="C41" s="68" t="str">
        <x:v>Summary Social Platform List</x:v>
      </x:c>
      <x:c r="D41" s="68" t="str">
        <x:v>summary_social_platform_list</x:v>
      </x:c>
      <x:c r="E41" s="68" t="str">
        <x:v>否</x:v>
      </x:c>
      <x:c r="F41" s="68" t="str">
        <x:v>否</x:v>
      </x:c>
      <x:c r="G41" s="68" t="str">
        <x:v>set</x:v>
      </x:c>
      <x:c r="H41" s="68" t="n">
        <x:v>0</x:v>
      </x:c>
      <x:c r="I41" s="68" t="str"/>
      <x:c r="J41" s="68" t="n">
        <x:v>0</x:v>
      </x:c>
      <x:c r="K41" s="68" t="str">
        <x:v>DISPLAY_ONLY</x:v>
      </x:c>
      <x:c r="L41" s="68" t="str"/>
      <x:c r="M41" s="68" t="str">
        <x:v>否</x:v>
      </x:c>
      <x:c r="N41" s="69" t="str">
        <x:v>CANDIDATE</x:v>
      </x:c>
    </x:row>
    <x:row r="42">
      <x:c r="A42" s="67" t="str">
        <x:v>Summary</x:v>
      </x:c>
      <x:c r="B42" s="68" t="str">
        <x:v>summary_web_platforms</x:v>
      </x:c>
      <x:c r="C42" s="68" t="str">
        <x:v>Web Link Platforms</x:v>
      </x:c>
      <x:c r="D42" s="68" t="str">
        <x:v>summary_web_platforms</x:v>
      </x:c>
      <x:c r="E42" s="68" t="str">
        <x:v>否</x:v>
      </x:c>
      <x:c r="F42" s="68" t="str">
        <x:v>否</x:v>
      </x:c>
      <x:c r="G42" s="68" t="str">
        <x:v>set</x:v>
      </x:c>
      <x:c r="H42" s="68" t="n">
        <x:v>5</x:v>
      </x:c>
      <x:c r="I42" s="68" t="str">
        <x:v>["theorg.com"]</x:v>
      </x:c>
      <x:c r="J42" s="68" t="n">
        <x:v>0</x:v>
      </x:c>
      <x:c r="K42" s="68" t="str">
        <x:v>BASELINE_ENABLED_NOT_EXTRACTED</x:v>
      </x:c>
      <x:c r="L42" s="68" t="str">
        <x:v>Baseline 已启用，但 Candidate 未配置提取</x:v>
      </x:c>
      <x:c r="M42" s="68" t="str">
        <x:v>否</x:v>
      </x:c>
      <x:c r="N42" s="69" t="str">
        <x:v>CANDIDATE</x:v>
      </x:c>
    </x:row>
    <x:row r="43">
      <x:c r="A43" s="67" t="str">
        <x:v>Summary</x:v>
      </x:c>
      <x:c r="B43" s="68" t="str">
        <x:v>summary_web_titles</x:v>
      </x:c>
      <x:c r="C43" s="68" t="str">
        <x:v>Web Link Titles</x:v>
      </x:c>
      <x:c r="D43" s="68" t="str">
        <x:v>summary_web_titles</x:v>
      </x:c>
      <x:c r="E43" s="68" t="str">
        <x:v>否</x:v>
      </x:c>
      <x:c r="F43" s="68" t="str">
        <x:v>否</x:v>
      </x:c>
      <x:c r="G43" s="68" t="str">
        <x:v>set</x:v>
      </x:c>
      <x:c r="H43" s="68" t="n">
        <x:v>0</x:v>
      </x:c>
      <x:c r="I43" s="68" t="str"/>
      <x:c r="J43" s="68" t="n">
        <x:v>0</x:v>
      </x:c>
      <x:c r="K43" s="68" t="str">
        <x:v>DISPLAY_ONLY</x:v>
      </x:c>
      <x:c r="L43" s="68" t="str"/>
      <x:c r="M43" s="68" t="str">
        <x:v>否</x:v>
      </x:c>
      <x:c r="N43" s="69" t="str">
        <x:v>CANDIDATE</x:v>
      </x:c>
    </x:row>
    <x:row r="44">
      <x:c r="A44" s="67" t="str">
        <x:v>Summary</x:v>
      </x:c>
      <x:c r="B44" s="68" t="str">
        <x:v>summary_web_links</x:v>
      </x:c>
      <x:c r="C44" s="68" t="str">
        <x:v>Summary Web Links</x:v>
      </x:c>
      <x:c r="D44" s="68" t="str">
        <x:v>summary_web_links</x:v>
      </x:c>
      <x:c r="E44" s="68" t="str">
        <x:v>否</x:v>
      </x:c>
      <x:c r="F44" s="68" t="str">
        <x:v>否</x:v>
      </x:c>
      <x:c r="G44" s="68" t="str">
        <x:v>url_set</x:v>
      </x:c>
      <x:c r="H44" s="68" t="n">
        <x:v>5</x:v>
      </x:c>
      <x:c r="I44" s="68" t="str">
        <x:v>["https://theorg.com/org/devon-energy/org-chart/akim-smiley","https://theorg.com/org/devon-energy/team/akim-smiley"]</x:v>
      </x:c>
      <x:c r="J44" s="68" t="n">
        <x:v>0</x:v>
      </x:c>
      <x:c r="K44" s="68" t="str">
        <x:v>BASELINE_ENABLED_NOT_EXTRACTED</x:v>
      </x:c>
      <x:c r="L44" s="68" t="str">
        <x:v>Baseline 已启用，但 Candidate 未配置提取</x:v>
      </x:c>
      <x:c r="M44" s="68" t="str">
        <x:v>否</x:v>
      </x:c>
      <x:c r="N44" s="69" t="str">
        <x:v>CANDIDATE</x:v>
      </x:c>
    </x:row>
    <x:row r="45">
      <x:c r="A45" s="70" t="str">
        <x:v>未配置字段</x:v>
      </x:c>
      <x:c r="B45" s="71" t="str">
        <x:v>summary_primary_image_url</x:v>
      </x:c>
      <x:c r="C45" s="71" t="str">
        <x:v>summary_primary_image_url</x:v>
      </x:c>
      <x:c r="D45" s="71" t="str"/>
      <x:c r="E45" s="71" t="str">
        <x:v>否</x:v>
      </x:c>
      <x:c r="F45" s="71" t="str">
        <x:v>否</x:v>
      </x:c>
      <x:c r="G45" s="71" t="str"/>
      <x:c r="H45" s="71" t="n">
        <x:v>5</x:v>
      </x:c>
      <x:c r="I45" s="71" t="str">
        <x:v>https://kg.diffbot.com/image/api/get?fetch=yes&amp;urls=g%3Cj7P0Stn8p.%5DjEp9G.Bd%7Bks4mRO5O%2F-h%5CW%7D-Ze%5EN-CgNj-gzCoEWpUp7R%60zN_%3Cb4E.A%5Dm</x:v>
      </x:c>
      <x:c r="J45" s="71" t="n">
        <x:v>0</x:v>
      </x:c>
      <x:c r="K45" s="71" t="str">
        <x:v>BASELINE_ENABLED_NOT_EXTRACTED</x:v>
      </x:c>
      <x:c r="L45" s="71" t="str">
        <x:v>Baseline 已启用，但 Candidate 未配置提取</x:v>
      </x:c>
      <x:c r="M45" s="71" t="str">
        <x:v>否</x:v>
      </x:c>
      <x:c r="N45" s="72" t="str">
        <x:v>CANDIDATE</x:v>
      </x:c>
    </x:row>
  </x:sheetData>
  <x:mergeCells>
    <x:mergeCell ref="A1:N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0" hidden="0" customWidth="1"/>
    <x:col min="4" max="4" width="80" hidden="0" customWidth="1"/>
    <x:col min="5" max="5" width="14" hidden="0" customWidth="1"/>
  </x:cols>
  <x:sheetData>
    <x:row r="1" ht="28" customHeight="1">
      <x:c r="A1" s="79" t="str">
        <x:v>主命中人物：基准中实际可用字段</x:v>
      </x:c>
      <x:c r="B1" s="79" t="str">
        <x:v>主命中人物：基准中实际可用字段</x:v>
      </x:c>
      <x:c r="C1" s="79" t="str">
        <x:v>主命中人物：基准中实际可用字段</x:v>
      </x:c>
      <x:c r="D1" s="79" t="str">
        <x:v>主命中人物：基准中实际可用字段</x:v>
      </x:c>
      <x:c r="E1" s="79" t="str">
        <x:v>主命中人物：基准中实际可用字段</x:v>
      </x:c>
    </x:row>
    <x:row r="2">
      <x:c r="A2" s="80"/>
      <x:c r="B2" s="80"/>
      <x:c r="C2" s="80"/>
      <x:c r="D2" s="80"/>
      <x:c r="E2" s="80"/>
    </x:row>
    <x:row r="3" ht="32" customHeight="1">
      <x:c r="A3" s="81" t="str">
        <x:v>Query</x:v>
      </x:c>
      <x:c r="B3" s="81" t="str">
        <x:v>目标人物</x:v>
      </x:c>
      <x:c r="C3" s="81" t="str">
        <x:v>基准字段键</x:v>
      </x:c>
      <x:c r="D3" s="81" t="str">
        <x:v>基准值</x:v>
      </x:c>
      <x:c r="E3" s="81" t="str">
        <x:v>模块</x:v>
      </x:c>
    </x:row>
    <x:row r="4">
      <x:c r="A4" s="64" t="str">
        <x:v>case-002</x:v>
      </x:c>
      <x:c r="B4" s="65" t="str">
        <x:v>Donna Pscolka</x:v>
      </x:c>
      <x:c r="C4" s="65" t="str">
        <x:v>insights_description</x:v>
      </x:c>
      <x:c r="D4" s="65" t="str">
        <x:v>["Donna Pscolka has held several positions in the loan servicing and financial services industry since the late 1980s. Currently, Donna serves as the Senior Manager of Loan Servicing at Dime Community Bank. Prior to this role, Donna was the Assistant Vice President of Multi Family Commercial Real Estate at Astoria Federal Savings. Throughout their career, Donna has gained experience in various aspects of loan servicing, from commercial to residential collections and foreclosures. Donna's educational background includes an Associate of Applied Science in Business from Nassau Community College and a Bachelor of Business Administration in Business Administration and Management."]</x:v>
      </x:c>
      <x:c r="E4" s="66" t="str">
        <x:v>Insights</x:v>
      </x:c>
    </x:row>
    <x:row r="5">
      <x:c r="A5" s="67" t="str">
        <x:v>case-002</x:v>
      </x:c>
      <x:c r="B5" s="68" t="str">
        <x:v>Donna Pscolka</x:v>
      </x:c>
      <x:c r="C5" s="68" t="str">
        <x:v>insights_links</x:v>
      </x:c>
      <x:c r="D5" s="68" t="str">
        <x:v>["https://indeed.com/r/Donna-Pscolka/a86081e813658196","https://theorg.com/org/dime-community-bank/org-chart/donna-pscolka","https://theorg.com/org/dime-community-bank/team/donna-pscolka"]</x:v>
      </x:c>
      <x:c r="E5" s="69" t="str">
        <x:v>Insights</x:v>
      </x:c>
    </x:row>
    <x:row r="6">
      <x:c r="A6" s="67" t="str">
        <x:v>case-002</x:v>
      </x:c>
      <x:c r="B6" s="68" t="str">
        <x:v>Donna Pscolka</x:v>
      </x:c>
      <x:c r="C6" s="68" t="str">
        <x:v>photos_baseline_photo_url</x:v>
      </x:c>
      <x:c r="D6" s="68" t="str">
        <x:v>https://kg.diffbot.com/image/api/get?fetch=yes&amp;urls=g%3Cj7P0Stn8p.%5DjEp9G.Bd%7Bkp4uKncPZ-E19y-Z86M-Di%7Dc-e%5CIuD7oTS%3A2%60zN_%3Cb4E.A%5Dm</x:v>
      </x:c>
      <x:c r="E6" s="69" t="str">
        <x:v>Photos</x:v>
      </x:c>
    </x:row>
    <x:row r="7">
      <x:c r="A7" s="67" t="str">
        <x:v>case-002</x:v>
      </x:c>
      <x:c r="B7" s="68" t="str">
        <x:v>Donna Pscolka</x:v>
      </x:c>
      <x:c r="C7" s="68" t="str">
        <x:v>social_display_handles</x:v>
      </x:c>
      <x:c r="D7" s="68" t="str">
        <x:v>["donna-pscolka-1435b913"]</x:v>
      </x:c>
      <x:c r="E7" s="69" t="str">
        <x:v>Social</x:v>
      </x:c>
    </x:row>
    <x:row r="8">
      <x:c r="A8" s="67" t="str">
        <x:v>case-002</x:v>
      </x:c>
      <x:c r="B8" s="68" t="str">
        <x:v>Donna Pscolka</x:v>
      </x:c>
      <x:c r="C8" s="68" t="str">
        <x:v>social_platforms</x:v>
      </x:c>
      <x:c r="D8" s="68" t="str">
        <x:v>["linkedin"]</x:v>
      </x:c>
      <x:c r="E8" s="69" t="str">
        <x:v>Social</x:v>
      </x:c>
    </x:row>
    <x:row r="9">
      <x:c r="A9" s="67" t="str">
        <x:v>case-002</x:v>
      </x:c>
      <x:c r="B9" s="68" t="str">
        <x:v>Donna Pscolka</x:v>
      </x:c>
      <x:c r="C9" s="68" t="str">
        <x:v>social_urls</x:v>
      </x:c>
      <x:c r="D9" s="68" t="str">
        <x:v>["https://linkedin.com/in/donna-pscolka-1435b913"]</x:v>
      </x:c>
      <x:c r="E9" s="69" t="str">
        <x:v>Social</x:v>
      </x:c>
    </x:row>
    <x:row r="10">
      <x:c r="A10" s="67" t="str">
        <x:v>case-002</x:v>
      </x:c>
      <x:c r="B10" s="68" t="str">
        <x:v>Donna Pscolka</x:v>
      </x:c>
      <x:c r="C10" s="68" t="str">
        <x:v>social_usernames</x:v>
      </x:c>
      <x:c r="D10" s="68" t="str">
        <x:v>["donna-pscolka-1435b913"]</x:v>
      </x:c>
      <x:c r="E10" s="69" t="str">
        <x:v>Social</x:v>
      </x:c>
    </x:row>
    <x:row r="11">
      <x:c r="A11" s="67" t="str">
        <x:v>case-002</x:v>
      </x:c>
      <x:c r="B11" s="68" t="str">
        <x:v>Donna Pscolka</x:v>
      </x:c>
      <x:c r="C11" s="68" t="str">
        <x:v>summary_avatar_url</x:v>
      </x:c>
      <x:c r="D11" s="68" t="str">
        <x:v>https://kg.diffbot.com/image/api/get?fetch=yes&amp;urls=g%3Cj7P0Stn8p.%5DjEp9G.Bd%7Bkp4uKncPZ-E19y-Z86M-Di%7Dc-e%5CIuD7oTS%3A2%60zN_%3Cb4E.A%5Dm</x:v>
      </x:c>
      <x:c r="E11" s="69" t="str">
        <x:v>Summary</x:v>
      </x:c>
    </x:row>
    <x:row r="12">
      <x:c r="A12" s="67" t="str">
        <x:v>case-003</x:v>
      </x:c>
      <x:c r="B12" s="68" t="str">
        <x:v>Akim Smiley</x:v>
      </x:c>
      <x:c r="C12" s="68" t="str">
        <x:v>insights_description</x:v>
      </x:c>
      <x:c r="D12" s="68" t="str">
        <x:v>["Akim Smiley is a seasoned professional in data engineering and technology consulting with extensive experience in the energy sector. Currently serving as the Lead Data Engineer at Devon Energy since July 2013, Akim has previously held roles such as Senior Applications Developer/Analyst at Chesapeake Energy and Technical Lead at Vitech Systems Group. Additional experience includes positions as a Senior Consultant at Deloitte Consulting and Senior Technology Consultant at BearingPoint, as well as a Database Analyst at the District Attorney's Council. Akim Smiley holds a Bachelor of Business Administration in Management Information Systems from the University of Central Oklahoma, earned between 1995 and 1999."]</x:v>
      </x:c>
      <x:c r="E12" s="69" t="str">
        <x:v>Insights</x:v>
      </x:c>
    </x:row>
    <x:row r="13">
      <x:c r="A13" s="67" t="str">
        <x:v>case-003</x:v>
      </x:c>
      <x:c r="B13" s="68" t="str">
        <x:v>Akim Smiley</x:v>
      </x:c>
      <x:c r="C13" s="68" t="str">
        <x:v>insights_links</x:v>
      </x:c>
      <x:c r="D13" s="68" t="str">
        <x:v>["https://theorg.com/org/devon-energy/org-chart/akim-smiley","https://theorg.com/org/devon-energy/team/akim-smiley"]</x:v>
      </x:c>
      <x:c r="E13" s="69" t="str">
        <x:v>Insights</x:v>
      </x:c>
    </x:row>
    <x:row r="14">
      <x:c r="A14" s="67" t="str">
        <x:v>case-003</x:v>
      </x:c>
      <x:c r="B14" s="68" t="str">
        <x:v>Akim Smiley</x:v>
      </x:c>
      <x:c r="C14" s="68" t="str">
        <x:v>photos_baseline_photo_url</x:v>
      </x:c>
      <x:c r="D14" s="68" t="str">
        <x:v>https://kg.diffbot.com/image/api/get?fetch=yes&amp;urls=g%3Cj7P0Stn8p.%5DjEp9G.Bd%7Bks4mRO5O%2F-h%5CW%7D-Ze%5EN-CgNj-gzCoEWpUp7R%60zN_%3Cb4E.A%5Dm</x:v>
      </x:c>
      <x:c r="E14" s="69" t="str">
        <x:v>Photos</x:v>
      </x:c>
    </x:row>
    <x:row r="15">
      <x:c r="A15" s="67" t="str">
        <x:v>case-003</x:v>
      </x:c>
      <x:c r="B15" s="68" t="str">
        <x:v>Akim Smiley</x:v>
      </x:c>
      <x:c r="C15" s="68" t="str">
        <x:v>social_display_handles</x:v>
      </x:c>
      <x:c r="D15" s="68" t="str">
        <x:v>["akim-smiley-624b895"]</x:v>
      </x:c>
      <x:c r="E15" s="69" t="str">
        <x:v>Social</x:v>
      </x:c>
    </x:row>
    <x:row r="16">
      <x:c r="A16" s="67" t="str">
        <x:v>case-003</x:v>
      </x:c>
      <x:c r="B16" s="68" t="str">
        <x:v>Akim Smiley</x:v>
      </x:c>
      <x:c r="C16" s="68" t="str">
        <x:v>social_platforms</x:v>
      </x:c>
      <x:c r="D16" s="68" t="str">
        <x:v>["linkedin"]</x:v>
      </x:c>
      <x:c r="E16" s="69" t="str">
        <x:v>Social</x:v>
      </x:c>
    </x:row>
    <x:row r="17">
      <x:c r="A17" s="67" t="str">
        <x:v>case-003</x:v>
      </x:c>
      <x:c r="B17" s="68" t="str">
        <x:v>Akim Smiley</x:v>
      </x:c>
      <x:c r="C17" s="68" t="str">
        <x:v>social_urls</x:v>
      </x:c>
      <x:c r="D17" s="68" t="str">
        <x:v>["https://linkedin.com/in/akim-smiley-624b895"]</x:v>
      </x:c>
      <x:c r="E17" s="69" t="str">
        <x:v>Social</x:v>
      </x:c>
    </x:row>
    <x:row r="18">
      <x:c r="A18" s="67" t="str">
        <x:v>case-003</x:v>
      </x:c>
      <x:c r="B18" s="68" t="str">
        <x:v>Akim Smiley</x:v>
      </x:c>
      <x:c r="C18" s="68" t="str">
        <x:v>social_usernames</x:v>
      </x:c>
      <x:c r="D18" s="68" t="str">
        <x:v>["akim-smiley-624b895"]</x:v>
      </x:c>
      <x:c r="E18" s="69" t="str">
        <x:v>Social</x:v>
      </x:c>
    </x:row>
    <x:row r="19">
      <x:c r="A19" s="67" t="str">
        <x:v>case-003</x:v>
      </x:c>
      <x:c r="B19" s="68" t="str">
        <x:v>Akim Smiley</x:v>
      </x:c>
      <x:c r="C19" s="68" t="str">
        <x:v>summary_avatar_url</x:v>
      </x:c>
      <x:c r="D19" s="68" t="str">
        <x:v>https://kg.diffbot.com/image/api/get?fetch=yes&amp;urls=g%3Cj7P0Stn8p.%5DjEp9G.Bd%7Bks4mRO5O%2F-h%5CW%7D-Ze%5EN-CgNj-gzCoEWpUp7R%60zN_%3Cb4E.A%5Dm</x:v>
      </x:c>
      <x:c r="E19" s="69" t="str">
        <x:v>Summary</x:v>
      </x:c>
    </x:row>
    <x:row r="20">
      <x:c r="A20" s="67" t="str">
        <x:v>case-004</x:v>
      </x:c>
      <x:c r="B20" s="68" t="str">
        <x:v>Satya Nadella</x:v>
      </x:c>
      <x:c r="C20" s="68" t="str">
        <x:v>insights_description</x:v>
      </x:c>
      <x:c r="D20" s="68" t="str">
        <x:v>["Satya Nadella is the Chairman and CEO of Microsoft, a role held since February 2014. In addition to this leadership position, Satya serves as a member of the Board of Trustees at the University of Chicago since 2018 and has been a board member at Starbucks from 2017 to 2024. Satya held the position of Chairman at The Business Council U.S. from 2021 to 2023 and served as a board member for Fred Hutch from 2016 to 2022. Educational qualifications include a Bachelor's Degree in Electrical Engineering from Manipal Institute of Technology, a Master's Degree in Computer Science from the University of Wisconsin-Milwaukee, and an MBA from The University of Chicago Booth School of Business, where studies were completed from 1994 to 1996."]</x:v>
      </x:c>
      <x:c r="E20" s="69" t="str">
        <x:v>Insights</x:v>
      </x:c>
    </x:row>
    <x:row r="21">
      <x:c r="A21" s="67" t="str">
        <x:v>case-004</x:v>
      </x:c>
      <x:c r="B21" s="68" t="str">
        <x:v>Satya Nadella</x:v>
      </x:c>
      <x:c r="C21" s="68" t="str">
        <x:v>insights_links</x:v>
      </x:c>
      <x:c r="D21" s="68" t="str">
        <x:v>["https://bloomberg.com/profile/person/3224315","https://bloomberg.com/research/stocks/people/person.asp?personId=1540690","https://celebritynetworth.com/richest-businessmen/ceos/satya-nadella-net-worth","https://crunchbase.com/person/satya-nadella","https://imdb.com/name/nm8202665","https://quora.com/profile/Amit-Kumar-2422","https://slideshare.net/satyanadella1","https://theorg.com/org/starbucks/org-chart/satya-nadella","https://theorg.com/org/starbucks/team/satya-nadella","https://theorg.com/org/fred-hutch/org-chart/satya-nadella","https://theorg.com/org/fred-hutch/team/satya-nadella","https://theorg.com/org/the-university-of-chicago/org-chart/satya-nadella-1","https://theorg.com/org/the-university-of-chicago/team/satya-nadella-1","https://theorg.com/org/the-university-of-chicago/org-chart/satya-nadella","https://theorg.com/org/the-university-of-chicago/team/satya-nadella","https://theorg.com/org/microsoft/org-chart/satya-nadella","https://theorg.com/org/microsoft/team/satya-nadella","https://wikidata.org/entity/Q7426870","https://wikidata.org/entity/Q18361427","https://en.wikipedia.org/?curid=38309941","https://en.wikipedia.org/wiki/Satya_Nadella","https://dbpedia.org/page/Satya_Nadella","https://dbpedia.org/resource/Satya_Nadella","https://cn.linkedin.com/in/satya-nadella-b428ab186","https://news.microsoft.com/exec/satya-nadella","https://t.co/UMBNtf23la","https://microsoft.com/ceo","https://d-nb.info/gnd/1148557989","https://viaf.org/viaf/317106370","https://g.co/kg/m/0q40xjj","https://amazon.com/wd/e/B072YR2LJP","https://adria.ign.com/satya-nadella","https://biyografiler.com/en/biography/satya-nadella","https://bornglorious.com/person/?pi=7426870","https://build.microsoft.com/en-US/speakers/2f4c421e-637f-4a3d-9ae4-cf7b0a50a0ca","https://businessroundtable.org/about-us/members/satya-nadella","https://cnbc.com/satya-nadella","https://cryptoslate.com/people/satya-nadella","https://factspodium.com/satya-nadella","https://indiaspora.org/business-leader/satya-nadella-2","https://insidertrades.com/microsoft-co-stock/satya-nadella","https://lp.usercv.com/biography/satyanadella","https://manufacturingdigital.com/executive/satya-nadella","https://metaunfolded.com/satya-nadella","https://moneysnoop.com/profile/384-satya-nadella","https://news.microsoft.com/source/exec/satya-nadella","https://realtimebillionaires.de/profile/satya-nadella","https://sea.ign.com/satya-nadella","https://service-now.com.tr/?satyanadella","https://servicetoamericamedals.org/honorees/satya-nadella","https://signal.nfx.com/investors/satya-nadella","https://signal.twilio.com/2025/speaker/1524692/satya-nadella","https://stockst.com/stocks/20","https://thenetwork.com/profile/satya-nadella-300bf8e0","https://trendingcelebs.org/satya-nadella","https://uscis.gov/citizenship-resource-center/learn-about-citizenship/outstanding-americans-by-choice/satya-nadella-chairman-chief-executive-officer-microsoft","https://usercv.com/biography/satyanadella","https://weforum.org/stories/authors/satya-nadella"]</x:v>
      </x:c>
      <x:c r="E21" s="69" t="str">
        <x:v>Insights</x:v>
      </x:c>
    </x:row>
    <x:row r="22">
      <x:c r="A22" s="67" t="str">
        <x:v>case-004</x:v>
      </x:c>
      <x:c r="B22" s="68" t="str">
        <x:v>Satya Nadella</x:v>
      </x:c>
      <x:c r="C22" s="68" t="str">
        <x:v>photos_baseline_photo_url</x:v>
      </x:c>
      <x:c r="D22" s="68" t="str">
        <x:v>https://kg.diffbot.com/image/api/get?fetch=yes&amp;urls=g%3Cj7P0St0DnBJf.x0KwLZrUn.%5B%3CR0Aa4Hh%3B%5Bv738ZqOr7U%3FhvGv%3ErA-2%7B1%5D-%2F%5B%3C%5E%7BDg-%40gX%7E%7C-DczI-A_-Qp-P%7E%7C%28_Lj1Jm%3D%29.Pw4,g%3Cj7guSXzAoBWu.x0KwLZrUn.%5B%3CR0Aa4Hwygr9m6W%3Exl5G%60Bkxm%5Cx-aeh%2F-iB%5E%3De%7B9-zNz%5Df-fBd0-pI-sO-7P%5B%28FnIk1%3Fl%29.rVn,g%3Cj7P0SttAc%3ANu.d9U%7CB%5DpM08.%7DZnIa6%40_%3Bv2FpDLhawxEr-%5BuTpJZ%40-r%3Ec2Jh9e%3ERy%3D%60pjr8TIM%7DEitG%5EQVp</x:v>
      </x:c>
      <x:c r="E22" s="69" t="str">
        <x:v>Photos</x:v>
      </x:c>
    </x:row>
    <x:row r="23">
      <x:c r="A23" s="67" t="str">
        <x:v>case-004</x:v>
      </x:c>
      <x:c r="B23" s="68" t="str">
        <x:v>Satya Nadella</x:v>
      </x:c>
      <x:c r="C23" s="68" t="str">
        <x:v>social_display_handles</x:v>
      </x:c>
      <x:c r="D23" s="68" t="str">
        <x:v>["satyanadella"]</x:v>
      </x:c>
      <x:c r="E23" s="69" t="str">
        <x:v>Social</x:v>
      </x:c>
    </x:row>
    <x:row r="24">
      <x:c r="A24" s="67" t="str">
        <x:v>case-004</x:v>
      </x:c>
      <x:c r="B24" s="68" t="str">
        <x:v>Satya Nadella</x:v>
      </x:c>
      <x:c r="C24" s="68" t="str">
        <x:v>social_platforms</x:v>
      </x:c>
      <x:c r="D24" s="68" t="str">
        <x:v>["twitter","linkedin","github"]</x:v>
      </x:c>
      <x:c r="E24" s="69" t="str">
        <x:v>Social</x:v>
      </x:c>
    </x:row>
    <x:row r="25">
      <x:c r="A25" s="67" t="str">
        <x:v>case-004</x:v>
      </x:c>
      <x:c r="B25" s="68" t="str">
        <x:v>Satya Nadella</x:v>
      </x:c>
      <x:c r="C25" s="68" t="str">
        <x:v>social_urls</x:v>
      </x:c>
      <x:c r="D25" s="68" t="str">
        <x:v>["https://twitter.com/satyanadella","https://linkedin.com/in/satyanadella","https://github.com/satyanadella"]</x:v>
      </x:c>
      <x:c r="E25" s="69" t="str">
        <x:v>Social</x:v>
      </x:c>
    </x:row>
    <x:row r="26">
      <x:c r="A26" s="67" t="str">
        <x:v>case-004</x:v>
      </x:c>
      <x:c r="B26" s="68" t="str">
        <x:v>Satya Nadella</x:v>
      </x:c>
      <x:c r="C26" s="68" t="str">
        <x:v>social_usernames</x:v>
      </x:c>
      <x:c r="D26" s="68" t="str">
        <x:v>["satyanadella"]</x:v>
      </x:c>
      <x:c r="E26" s="69" t="str">
        <x:v>Social</x:v>
      </x:c>
    </x:row>
    <x:row r="27">
      <x:c r="A27" s="67" t="str">
        <x:v>case-004</x:v>
      </x:c>
      <x:c r="B27" s="68" t="str">
        <x:v>Satya Nadella</x:v>
      </x:c>
      <x:c r="C27" s="68" t="str">
        <x:v>summary_avatar_url</x:v>
      </x:c>
      <x:c r="D27" s="68" t="str">
        <x:v>https://kg.diffbot.com/image/api/get?fetch=yes&amp;urls=g%3Cj7P0St0DnBJf.x0KwLZrUn.%5B%3CR0Aa4Hh%3B%5Bv738ZqOr7U%3FhvGv%3ErA-2%7B1%5D-%2F%5B%3C%5E%7BDg-%40gX%7E%7C-DczI-A_-Qp-P%7E%7C%28_Lj1Jm%3D%29.Pw4,g%3Cj7guSXzAoBWu.x0KwLZrUn.%5B%3CR0Aa4Hwygr9m6W%3Exl5G%60Bkxm%5Cx-aeh%2F-iB%5E%3De%7B9-zNz%5Df-fBd0-pI-sO-7P%5B%28FnIk1%3Fl%29.rVn,g%3Cj7P0SttAc%3ANu.d9U%7CB%5DpM08.%7DZnIa6%40_%3Bv2FpDLhawxEr-%5BuTpJZ%40-r%3Ec2Jh9e%3ERy%3D%60pjr8TIM%7DEitG%5EQVp</x:v>
      </x:c>
      <x:c r="E27" s="69" t="str">
        <x:v>Summary</x:v>
      </x:c>
    </x:row>
    <x:row r="28">
      <x:c r="A28" s="67" t="str">
        <x:v>case-005</x:v>
      </x:c>
      <x:c r="B28" s="68" t="str">
        <x:v>Ben Carson</x:v>
      </x:c>
      <x:c r="C28" s="68" t="str">
        <x:v>insights_description</x:v>
      </x:c>
      <x:c r="D28" s="68" t="str">
        <x:v>["Benjamin Solomon Carson Sr. (born September 18, 1951) is an American retired neurosurgeon, academic, author, and government official who served as the 17th United States Secretary of Housing and Urban Development from 2017 to 2021. A pioneer in the field of neurosurgery, he was a candidate in the 2016 Republican presidential primaries. Carson is one of the most prominent black conservatives in the United States."]</x:v>
      </x:c>
      <x:c r="E28" s="69" t="str">
        <x:v>Insights</x:v>
      </x:c>
    </x:row>
    <x:row r="29">
      <x:c r="A29" s="67" t="str">
        <x:v>case-005</x:v>
      </x:c>
      <x:c r="B29" s="68" t="str">
        <x:v>Ben Carson</x:v>
      </x:c>
      <x:c r="C29" s="68" t="str">
        <x:v>insights_links</x:v>
      </x:c>
      <x:c r="D29" s="68" t="str">
        <x:v>["https://bloomberg.com/profile/person/14016273","https://celebritynetworth.com/richest-businessmen/business-executives/dr-ben-carson-net-worth","https://classmates.com/people/benjamin-carson/4000178412934","https://classmates.com/people/benjamin-carson/4000171257926","https://classmates.com/people/benjamin-carson/4000165391706","https://crunchbase.com/person/benjamin-s-carson","https://fastpeoplesearch.com/benjamin-carson_id_G7051385264325475815","https://imdb.com/name/nm0990442","https://theorg.com/org/d-r-horton/org-chart/benjamin-s-carson","https://theorg.com/org/d-r-horton/team/benjamin-s-carson","https://theorg.com/org/sinclair-broadcast-group/org-chart/benjamin-carson-sr","https://theorg.com/org/sinclair-broadcast-group/team/benjamin-carson-sr","https://wikidata.org/entity/Q816459","https://en.wikipedia.org/wiki/Ben_Carson","https://wikidata.org/entity/Q31293918","https://dbpedia.org/page/Ben_Carson","https://en.wikipedia.org/?curid=1017695","https://dbpedia.org/resource/Ben_Carson","https://hud.gov/about/leadership/ben_carson","https://bencarson.com","https://m.me/realbencarson","https://realbencarson.com","https://carsonscholars.org","https://hud.gov","https://americancornerstone.org","https://d-nb.info/gnd/121223035","https://viaf.org/viaf/71503552","https://g.co/kg/m/03znkl","https://amazon.com/wd/e/B001IGOK4M","https://agecalculator.me/ben-carson/8222","https://conservapedia.com/Ben_Carson","https://daystar.com/guest-guide/marcus-joni-guests/dr-ben-carson","https://factmandu.com/ben-carson","https://ghc.edu/student-services/first-generation-students?drbencarson","https://horatioalger.org/members/detail/benjamin-s-carson-sr","https://macroaxis.com/invest/manager/K--Samantha_Long","https://networthlist.org/ben-carson","https://pri-med.com/sitecore/content/pmo/globals/faculty/c/carson-benjamin","https://speakerbookingagency.com/talent/dr.-ben-carson"]</x:v>
      </x:c>
      <x:c r="E29" s="69" t="str">
        <x:v>Insights</x:v>
      </x:c>
    </x:row>
    <x:row r="30">
      <x:c r="A30" s="67" t="str">
        <x:v>case-005</x:v>
      </x:c>
      <x:c r="B30" s="68" t="str">
        <x:v>Ben Carson</x:v>
      </x:c>
      <x:c r="C30" s="68" t="str">
        <x:v>photos_baseline_photo_url</x:v>
      </x:c>
      <x:c r="D30" s="68" t="str">
        <x:v>https://kg.diffbot.com/image/api/get?fetch=yes&amp;urls=g%3Cj7guSXzAoBWu.x0KwLZrUn.%5B%3CR0Aa4Hwygr9m6W%3Exl5G%60BkxmQ%3A%5C%7B0d%3Em%3AOY%7DLSi.A%5Dm,g%3Cj7P0St0DnBJf.x0KwLZrUn.%5B%3CR0Aa4Hh%3B%5Bv738ZqOr7U%3FCvrt%3EgS%3ALF%7Dl%3EPh7%7B%3FZ%3B.WvK,g%3Cj7P0St%7B6u.%5DyIn%7E.qNb%3D%5C%2FBR3Wfya6%40_%3Bj%3C%5E%3BUn5f3IdHiyBnF%5CrPlxpIp4bBmn%5C6We%3Ad5.N2J</x:v>
      </x:c>
      <x:c r="E30" s="69" t="str">
        <x:v>Photos</x:v>
      </x:c>
    </x:row>
    <x:row r="31">
      <x:c r="A31" s="67" t="str">
        <x:v>case-005</x:v>
      </x:c>
      <x:c r="B31" s="68" t="str">
        <x:v>Ben Carson</x:v>
      </x:c>
      <x:c r="C31" s="68" t="str">
        <x:v>social_display_handles</x:v>
      </x:c>
      <x:c r="D31" s="68" t="str">
        <x:v>["RealBenCarson","realbencarson","UCg2yjMuc7YiHqQR8HGw2kiA"]</x:v>
      </x:c>
      <x:c r="E31" s="69" t="str">
        <x:v>Social</x:v>
      </x:c>
    </x:row>
    <x:row r="32">
      <x:c r="A32" s="67" t="str">
        <x:v>case-005</x:v>
      </x:c>
      <x:c r="B32" s="68" t="str">
        <x:v>Ben Carson</x:v>
      </x:c>
      <x:c r="C32" s="68" t="str">
        <x:v>social_platforms</x:v>
      </x:c>
      <x:c r="D32" s="68" t="str">
        <x:v>["twitter","facebook","instagram","linkedin","youtube"]</x:v>
      </x:c>
      <x:c r="E32" s="69" t="str">
        <x:v>Social</x:v>
      </x:c>
    </x:row>
    <x:row r="33">
      <x:c r="A33" s="67" t="str">
        <x:v>case-005</x:v>
      </x:c>
      <x:c r="B33" s="68" t="str">
        <x:v>Ben Carson</x:v>
      </x:c>
      <x:c r="C33" s="68" t="str">
        <x:v>social_urls</x:v>
      </x:c>
      <x:c r="D33" s="68" t="str">
        <x:v>["https://twitter.com/RealBenCarson","https://facebook.com/realbencarson","https://instagram.com/realbencarson","https://linkedin.com/in/realbencarson","https://youtube.com/channel/UCg2yjMuc7YiHqQR8HGw2kiA"]</x:v>
      </x:c>
      <x:c r="E33" s="69" t="str">
        <x:v>Social</x:v>
      </x:c>
    </x:row>
    <x:row r="34">
      <x:c r="A34" s="67" t="str">
        <x:v>case-005</x:v>
      </x:c>
      <x:c r="B34" s="68" t="str">
        <x:v>Ben Carson</x:v>
      </x:c>
      <x:c r="C34" s="68" t="str">
        <x:v>social_usernames</x:v>
      </x:c>
      <x:c r="D34" s="68" t="str">
        <x:v>["RealBenCarson","realbencarson","UCg2yjMuc7YiHqQR8HGw2kiA"]</x:v>
      </x:c>
      <x:c r="E34" s="69" t="str">
        <x:v>Social</x:v>
      </x:c>
    </x:row>
    <x:row r="35">
      <x:c r="A35" s="70" t="str">
        <x:v>case-005</x:v>
      </x:c>
      <x:c r="B35" s="71" t="str">
        <x:v>Ben Carson</x:v>
      </x:c>
      <x:c r="C35" s="71" t="str">
        <x:v>summary_avatar_url</x:v>
      </x:c>
      <x:c r="D35" s="71" t="str">
        <x:v>https://kg.diffbot.com/image/api/get?fetch=yes&amp;urls=g%3Cj7guSXzAoBWu.x0KwLZrUn.%5B%3CR0Aa4Hwygr9m6W%3Exl5G%60BkxmQ%3A%5C%7B0d%3Em%3AOY%7DLSi.A%5Dm,g%3Cj7P0St0DnBJf.x0KwLZrUn.%5B%3CR0Aa4Hh%3B%5Bv738ZqOr7U%3FCvrt%3EgS%3ALF%7Dl%3EPh7%7B%3FZ%3B.WvK,g%3Cj7P0St%7B6u.%5DyIn%7E.qNb%3D%5C%2FBR3Wfya6%40_%3Bj%3C%5E%3BUn5f3IdHiyBnF%5CrPlxpIp4bBmn%5C6We%3Ad5.N2J</x:v>
      </x:c>
      <x:c r="E35" s="72" t="str">
        <x:v>Summary</x:v>
      </x:c>
    </x:row>
  </x:sheetData>
  <x:mergeCells>
    <x:mergeCell ref="A1:E1"/>
  </x:mergeCells>
  <x:pageMargins left="0.7" right="0.7" top="0.75" bottom="0.75" header="0.3" footer="0.3"/>
</x:worksheet>
</file>
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ee6155d26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结果" sheetId="1" r:id="R9056ca5b2eb94e1f"/>
    <x:sheet xmlns:r="http://schemas.openxmlformats.org/officeDocument/2006/relationships" name="Query对比" sheetId="2" r:id="R7c741894a20e44aa"/>
    <x:sheet xmlns:r="http://schemas.openxmlformats.org/officeDocument/2006/relationships" name="失败记录" sheetId="3" r:id="Ra94e4a143cc44310"/>
    <x:sheet xmlns:r="http://schemas.openxmlformats.org/officeDocument/2006/relationships" name="说明" sheetId="4" r:id="R1fa5060f1c16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375623"/>
      </x:left>
      <x:top style="thin">
        <x:color rgb="FF375623"/>
      </x:top>
      <x:bottom style="thin">
        <x:color rgb="FF375623"/>
      </x:bottom>
    </x:border>
    <x:border>
      <x:top style="thin">
        <x:color rgb="FF375623"/>
      </x:top>
      <x:bottom style="thin">
        <x:color rgb="FF375623"/>
      </x:bottom>
    </x:border>
    <x:border>
      <x:right style="thin">
        <x:color rgb="FF375623"/>
      </x:right>
      <x:top style="thin">
        <x:color rgb="FF375623"/>
      </x:top>
      <x:bottom style="thin">
        <x:color rgb="FF37562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116f9b48241a5" /><Relationship Type="http://schemas.openxmlformats.org/officeDocument/2006/relationships/theme" Target="/xl/theme/theme1.xml" Id="R49d345ad608e487f" /><Relationship Type="http://schemas.openxmlformats.org/officeDocument/2006/relationships/sharedStrings" Target="/xl/sharedStrings.xml" Id="R60a4e67420c24794" /><Relationship Type="http://schemas.openxmlformats.org/officeDocument/2006/relationships/worksheet" Target="/xl/worksheets/sheet1.xml" Id="R9056ca5b2eb94e1f" /><Relationship Type="http://schemas.openxmlformats.org/officeDocument/2006/relationships/worksheet" Target="/xl/worksheets/sheet2.xml" Id="R7c741894a20e44aa" /><Relationship Type="http://schemas.openxmlformats.org/officeDocument/2006/relationships/worksheet" Target="/xl/worksheets/sheet3.xml" Id="Ra94e4a143cc44310" /><Relationship Type="http://schemas.openxmlformats.org/officeDocument/2006/relationships/worksheet" Target="/xl/worksheets/sheet4.xml" Id="R1fa5060f1c164042" /></Relationships>
</file>

<file path=xl/tables/table1.xml><?xml version="1.0" encoding="utf-8"?>
<x:table xmlns:x="http://schemas.openxmlformats.org/spreadsheetml/2006/main" id="1" name="CandidateResultsTable" displayName="CandidateResultsTable" ref="A1:AE3" headerRowCount="1" totalsRowCount="0" totalsRowShown="0">
  <x:tableColumns count="31">
    <x:tableColumn id="1" name="evaluation_id"/>
    <x:tableColumn id="2" name="run_label"/>
    <x:tableColumn id="3" name="query_id"/>
    <x:tableColumn id="4" name="person_id"/>
    <x:tableColumn id="5" name="query_type"/>
    <x:tableColumn id="6" name="task_id"/>
    <x:tableColumn id="7" name="candidate_id"/>
    <x:tableColumn id="8" name="candidate_count_total"/>
    <x:tableColumn id="9" name="candidate_rank"/>
    <x:tableColumn id="10" name="rank_score"/>
    <x:tableColumn id="11" name="insights_status"/>
    <x:tableColumn id="12" name="insights_description"/>
    <x:tableColumn id="13" name="insights_links"/>
    <x:tableColumn id="14" name="photos_status"/>
    <x:tableColumn id="15" name="photos_baseline_photo_url"/>
    <x:tableColumn id="16" name="photos_identity_match_rate"/>
    <x:tableColumn id="17" name="photos_authenticity_photos"/>
    <x:tableColumn id="18" name="photos_match_photos"/>
    <x:tableColumn id="19" name="profile_status"/>
    <x:tableColumn id="20" name="profile.Identity.Full Name"/>
    <x:tableColumn id="21" name="profile.Identity.Location"/>
    <x:tableColumn id="22" name="profile.Career.Current Role"/>
    <x:tableColumn id="23" name="social_status"/>
    <x:tableColumn id="24" name="social_display_handles"/>
    <x:tableColumn id="25" name="social_platforms"/>
    <x:tableColumn id="26" name="social_urls"/>
    <x:tableColumn id="27" name="summary_avatar_url"/>
    <x:tableColumn id="28" name="summary_confidence_level"/>
    <x:tableColumn id="29" name="summary_primary_image_url"/>
    <x:tableColumn id="30" name="summary_social_links"/>
    <x:tableColumn id="31" name="summary_web_lin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ryComparisonTable" displayName="QueryComparisonTable" ref="A1:Q4" headerRowCount="1" totalsRowCount="0" totalsRowShown="0">
  <x:tableColumns count="17">
    <x:tableColumn id="1" name="evaluation_id"/>
    <x:tableColumn id="2" name="query_id"/>
    <x:tableColumn id="3" name="person_id"/>
    <x:tableColumn id="4" name="query_type"/>
    <x:tableColumn id="5" name="person_group"/>
    <x:tableColumn id="6" name="difficulty"/>
    <x:tableColumn id="7" name="tags"/>
    <x:tableColumn id="8" name="current_status"/>
    <x:tableColumn id="9" name="current_candidate_count"/>
    <x:tableColumn id="10" name="current_failure_stage"/>
    <x:tableColumn id="11" name="current_target_rank"/>
    <x:tableColumn id="12" name="current_hit1"/>
    <x:tableColumn id="13" name="current_hit3"/>
    <x:tableColumn id="14" name="current_hit5"/>
    <x:tableColumn id="15" name="current_mrr5"/>
    <x:tableColumn id="16" name="primary_failure_type"/>
    <x:tableColumn id="17" name="review_com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ilureRecordsTable" displayName="FailureRecordsTable" ref="A1:J2" headerRowCount="1" totalsRowCount="0" totalsRowShown="0">
  <x:tableColumns count="10">
    <x:tableColumn id="1" name="evaluation_id"/>
    <x:tableColumn id="2" name="run_label"/>
    <x:tableColumn id="3" name="system_version"/>
    <x:tableColumn id="4" name="query_id"/>
    <x:tableColumn id="5" name="task_id"/>
    <x:tableColumn id="6" name="stage"/>
    <x:tableColumn id="7" name="error"/>
    <x:tableColumn id="8" name="failure_type"/>
    <x:tableColumn id="9" name="source_file"/>
    <x:tableColumn id="10" name="source_lin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bookNotesTable" displayName="WorkbookNotesTable" ref="A1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didateFieldCatalogTable" displayName="CandidateFieldCatalogTable" ref="D1:L51" headerRowCount="1" totalsRowCount="0" totalsRowShown="0">
  <x:tableColumns count="9">
    <x:tableColumn id="1" name="序号"/>
    <x:tableColumn id="2" name="当前表头"/>
    <x:tableColumn id="3" name="中文含义"/>
    <x:tableColumn id="4" name="来源路径/生成规则"/>
    <x:tableColumn id="5" name="内容格式"/>
    <x:tableColumn id="6" name="示例格式"/>
    <x:tableColumn id="7" name="是否保留"/>
    <x:tableColumn id="8" name="新表头"/>
    <x:tableColumn id="9" name="处理规则/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df3665f6644a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f595b8230c4b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3a29d859424c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4bf65dc8f34dd9" /><Relationship Type="http://schemas.openxmlformats.org/officeDocument/2006/relationships/table" Target="/xl/tables/table5.xml" Id="Refeaa83de51c40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20" hidden="0" customWidth="1"/>
    <x:col min="8" max="8" width="22" hidden="0" customWidth="1"/>
    <x:col min="9" max="9" width="15" hidden="0" customWidth="1"/>
    <x:col min="10" max="10" width="18" hidden="0" customWidth="1"/>
    <x:col min="11" max="11" width="16" hidden="0" customWidth="1"/>
    <x:col min="12" max="12" width="34" hidden="0" customWidth="1"/>
    <x:col min="13" max="13" width="34" hidden="0" customWidth="1"/>
    <x:col min="14" max="14" width="16" hidden="0" customWidth="1"/>
    <x:col min="15" max="15" width="34" hidden="0" customWidth="1"/>
    <x:col min="16" max="16" width="16" hidden="0" customWidth="1"/>
    <x:col min="17" max="17" width="18" hidden="0" customWidth="1"/>
    <x:col min="18" max="18" width="18" hidden="0" customWidth="1"/>
    <x:col min="19" max="19" width="16" hidden="0" customWidth="1"/>
    <x:col min="20" max="20" width="18" hidden="0" customWidth="1"/>
    <x:col min="21" max="21" width="18" hidden="0" customWidth="1"/>
    <x:col min="22" max="22" width="18" hidden="0" customWidth="1"/>
    <x:col min="23" max="23" width="16" hidden="0" customWidth="1"/>
    <x:col min="24" max="24" width="18" hidden="0" customWidth="1"/>
    <x:col min="25" max="25" width="18" hidden="0" customWidth="1"/>
    <x:col min="26" max="26" width="34" hidden="0" customWidth="1"/>
    <x:col min="27" max="27" width="34" hidden="0" customWidth="1"/>
    <x:col min="28" max="28" width="16" hidden="0" customWidth="1"/>
    <x:col min="29" max="29" width="34" hidden="0" customWidth="1"/>
    <x:col min="30" max="30" width="34" hidden="0" customWidth="1"/>
    <x:col min="31" max="31" width="34" hidden="0" customWidth="1"/>
  </x:cols>
  <x:sheetData>
    <x:row r="1" ht="30" customHeight="1">
      <x:c r="A1" s="9" t="str">
        <x:v>evaluation_id</x:v>
      </x:c>
      <x:c r="B1" s="10" t="str">
        <x:v>run_label</x:v>
      </x:c>
      <x:c r="C1" s="10" t="str">
        <x:v>query_id</x:v>
      </x:c>
      <x:c r="D1" s="10" t="str">
        <x:v>person_id</x:v>
      </x:c>
      <x:c r="E1" s="10" t="str">
        <x:v>query_type</x:v>
      </x:c>
      <x:c r="F1" s="10" t="str">
        <x:v>task_id</x:v>
      </x:c>
      <x:c r="G1" s="10" t="str">
        <x:v>candidate_id</x:v>
      </x:c>
      <x:c r="H1" s="10" t="str">
        <x:v>candidate_count_total</x:v>
      </x:c>
      <x:c r="I1" s="10" t="str">
        <x:v>candidate_rank</x:v>
      </x:c>
      <x:c r="J1" s="10" t="str">
        <x:v>rank_score</x:v>
      </x:c>
      <x:c r="K1" s="10" t="str">
        <x:v>insights_status</x:v>
      </x:c>
      <x:c r="L1" s="10" t="str">
        <x:v>insights_description</x:v>
      </x:c>
      <x:c r="M1" s="10" t="str">
        <x:v>insights_links</x:v>
      </x:c>
      <x:c r="N1" s="10" t="str">
        <x:v>photos_status</x:v>
      </x:c>
      <x:c r="O1" s="10" t="str">
        <x:v>photos_baseline_photo_url</x:v>
      </x:c>
      <x:c r="P1" s="10" t="str">
        <x:v>photos_identity_match_rate</x:v>
      </x:c>
      <x:c r="Q1" s="10" t="str">
        <x:v>photos_authenticity_photos</x:v>
      </x:c>
      <x:c r="R1" s="10" t="str">
        <x:v>photos_match_photos</x:v>
      </x:c>
      <x:c r="S1" s="10" t="str">
        <x:v>profile_status</x:v>
      </x:c>
      <x:c r="T1" s="10" t="str">
        <x:v>profile.Identity.Full Name</x:v>
      </x:c>
      <x:c r="U1" s="10" t="str">
        <x:v>profile.Identity.Location</x:v>
      </x:c>
      <x:c r="V1" s="10" t="str">
        <x:v>profile.Career.Current Role</x:v>
      </x:c>
      <x:c r="W1" s="10" t="str">
        <x:v>social_status</x:v>
      </x:c>
      <x:c r="X1" s="10" t="str">
        <x:v>social_display_handles</x:v>
      </x:c>
      <x:c r="Y1" s="10" t="str">
        <x:v>social_platforms</x:v>
      </x:c>
      <x:c r="Z1" s="10" t="str">
        <x:v>social_urls</x:v>
      </x:c>
      <x:c r="AA1" s="10" t="str">
        <x:v>summary_avatar_url</x:v>
      </x:c>
      <x:c r="AB1" s="10" t="str">
        <x:v>summary_confidence_level</x:v>
      </x:c>
      <x:c r="AC1" s="10" t="str">
        <x:v>summary_primary_image_url</x:v>
      </x:c>
      <x:c r="AD1" s="10" t="str">
        <x:v>summary_social_links</x:v>
      </x:c>
      <x:c r="AE1" s="11" t="str">
        <x:v>summary_web_links</x:v>
      </x:c>
    </x:row>
    <x:row r="2" ht="42" customHeight="1">
      <x:c r="A2" s="13" t="str">
        <x:v>eval-v1.3-phase0</x:v>
      </x:c>
      <x:c r="B2" s="13" t="str">
        <x:v>baseline</x:v>
      </x:c>
      <x:c r="C2" s="13" t="str">
        <x:v>baseline-full-name</x:v>
      </x:c>
      <x:c r="D2" s="13" t="str">
        <x:v>person-001</x:v>
      </x:c>
      <x:c r="E2" s="13" t="str">
        <x:v>FULL_NAME</x:v>
      </x:c>
      <x:c r="F2" s="13" t="str">
        <x:v>task-baseline-001</x:v>
      </x:c>
      <x:c r="G2" s="13" t="str">
        <x:v>candidate-baseline-001</x:v>
      </x:c>
      <x:c r="H2" s="13" t="n">
        <x:v>2</x:v>
      </x:c>
      <x:c r="I2" s="13" t="n">
        <x:v>1</x:v>
      </x:c>
      <x:c r="J2" s="13" t="n">
        <x:v>0.92</x:v>
      </x:c>
      <x:c r="K2" s="13" t="str">
        <x:v>data</x:v>
      </x:c>
      <x:c r="L2" s="13" t="str">
        <x:v>Synthetic public profile for baseline verification.</x:v>
      </x:c>
      <x:c r="M2" s="13" t="str">
        <x:v>Evidence：https://evidence.example.test/person-001</x:v>
      </x:c>
      <x:c r="N2" s="13" t="str">
        <x:v>empty</x:v>
      </x:c>
      <x:c r="O2" s="13" t="str"/>
      <x:c r="P2" s="13" t="n">
        <x:v>0</x:v>
      </x:c>
      <x:c r="Q2" s="13" t="str">
        <x:v>[]</x:v>
      </x:c>
      <x:c r="R2" s="13" t="str">
        <x:v>[]</x:v>
      </x:c>
      <x:c r="S2" s="13" t="str">
        <x:v>data</x:v>
      </x:c>
      <x:c r="T2" s="13" t="str">
        <x:v>Example Person</x:v>
      </x:c>
      <x:c r="U2" s="13" t="str">
        <x:v>Shanghai</x:v>
      </x:c>
      <x:c r="V2" s="13" t="str">
        <x:v>Quality Engineer</x:v>
      </x:c>
      <x:c r="W2" s="13" t="str">
        <x:v>data</x:v>
      </x:c>
      <x:c r="X2" s="13" t="str">
        <x:v>example-person</x:v>
      </x:c>
      <x:c r="Y2" s="13" t="str">
        <x:v>example</x:v>
      </x:c>
      <x:c r="Z2" s="13" t="str">
        <x:v>https://social.example.test/example-person</x:v>
      </x:c>
      <x:c r="AA2" s="13" t="str">
        <x:v>https://images.example.test/avatar-001.jpg</x:v>
      </x:c>
      <x:c r="AB2" s="13" t="str">
        <x:v>HIGH</x:v>
      </x:c>
      <x:c r="AC2" s="13" t="str">
        <x:v>https://images.example.test/primary-001.jpg</x:v>
      </x:c>
      <x:c r="AD2" s="13" t="str">
        <x:v>Example Social：https://social.example.test/example-person</x:v>
      </x:c>
      <x:c r="AE2" s="13" t="str">
        <x:v>Example Site：https://www.example.test/person-001</x:v>
      </x:c>
    </x:row>
    <x:row r="3" ht="42" customHeight="1">
      <x:c r="A3" s="13" t="str">
        <x:v>eval-v1.3-phase0</x:v>
      </x:c>
      <x:c r="B3" s="13" t="str">
        <x:v>baseline</x:v>
      </x:c>
      <x:c r="C3" s="13" t="str">
        <x:v>baseline-full-name</x:v>
      </x:c>
      <x:c r="D3" s="13" t="str">
        <x:v>person-001</x:v>
      </x:c>
      <x:c r="E3" s="13" t="str">
        <x:v>FULL_NAME</x:v>
      </x:c>
      <x:c r="F3" s="13" t="str">
        <x:v>task-baseline-001</x:v>
      </x:c>
      <x:c r="G3" s="13" t="str">
        <x:v>candidate-baseline-002</x:v>
      </x:c>
      <x:c r="H3" s="13" t="n">
        <x:v>2</x:v>
      </x:c>
      <x:c r="I3" s="13" t="n">
        <x:v>2</x:v>
      </x:c>
      <x:c r="J3" s="13" t="n">
        <x:v>0.47</x:v>
      </x:c>
      <x:c r="K3" s="13" t="str">
        <x:v>empty</x:v>
      </x:c>
      <x:c r="L3" s="13" t="str"/>
      <x:c r="M3" s="13" t="str"/>
      <x:c r="N3" s="13" t="str">
        <x:v>empty</x:v>
      </x:c>
      <x:c r="O3" s="13" t="str"/>
      <x:c r="P3" s="13" t="n">
        <x:v>0</x:v>
      </x:c>
      <x:c r="Q3" s="13" t="str">
        <x:v>[]</x:v>
      </x:c>
      <x:c r="R3" s="13" t="str">
        <x:v>[]</x:v>
      </x:c>
      <x:c r="S3" s="13" t="str">
        <x:v>data</x:v>
      </x:c>
      <x:c r="T3" s="13" t="str">
        <x:v>Example Person Two</x:v>
      </x:c>
      <x:c r="U3" s="13"/>
      <x:c r="V3" s="13"/>
      <x:c r="W3" s="13" t="str">
        <x:v>empty</x:v>
      </x:c>
      <x:c r="X3" s="13" t="str"/>
      <x:c r="Y3" s="13" t="str"/>
      <x:c r="Z3" s="13" t="str"/>
      <x:c r="AA3" s="13" t="str"/>
      <x:c r="AB3" s="13" t="str">
        <x:v>LOW</x:v>
      </x:c>
      <x:c r="AC3" s="13" t="str"/>
      <x:c r="AD3" s="13" t="str"/>
      <x:c r="AE3" s="13" t="str"/>
    </x:row>
  </x:sheetData>
  <x:pageMargins left="0.7" right="0.7" top="0.75" bottom="0.75" header="0.3" footer="0.3"/>
  <x:tableParts count="1">
    <x:tablePart xmlns:r="http://schemas.openxmlformats.org/officeDocument/2006/relationships" r:id="R77df3665f6644a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22" hidden="0" customWidth="1"/>
    <x:col min="10" max="10" width="20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34" hidden="0" customWidth="1"/>
  </x:cols>
  <x:sheetData>
    <x:row r="1" ht="30" customHeight="1">
      <x:c r="A1" s="9" t="str">
        <x:v>evaluation_id</x:v>
      </x:c>
      <x:c r="B1" s="10" t="str">
        <x:v>query_id</x:v>
      </x:c>
      <x:c r="C1" s="10" t="str">
        <x:v>person_id</x:v>
      </x:c>
      <x:c r="D1" s="10" t="str">
        <x:v>query_type</x:v>
      </x:c>
      <x:c r="E1" s="10" t="str">
        <x:v>person_group</x:v>
      </x:c>
      <x:c r="F1" s="10" t="str">
        <x:v>difficulty</x:v>
      </x:c>
      <x:c r="G1" s="10" t="str">
        <x:v>tags</x:v>
      </x:c>
      <x:c r="H1" s="10" t="str">
        <x:v>current_status</x:v>
      </x:c>
      <x:c r="I1" s="10" t="str">
        <x:v>current_candidate_count</x:v>
      </x:c>
      <x:c r="J1" s="10" t="str">
        <x:v>current_failure_stage</x:v>
      </x:c>
      <x:c r="K1" s="10" t="str">
        <x:v>current_target_rank</x:v>
      </x:c>
      <x:c r="L1" s="10" t="str">
        <x:v>current_hit1</x:v>
      </x:c>
      <x:c r="M1" s="10" t="str">
        <x:v>current_hit3</x:v>
      </x:c>
      <x:c r="N1" s="10" t="str">
        <x:v>current_hit5</x:v>
      </x:c>
      <x:c r="O1" s="10" t="str">
        <x:v>current_mrr5</x:v>
      </x:c>
      <x:c r="P1" s="10" t="str">
        <x:v>primary_failure_type</x:v>
      </x:c>
      <x:c r="Q1" s="11" t="str">
        <x:v>review_comment</x:v>
      </x:c>
    </x:row>
    <x:row r="2" ht="42" customHeight="1">
      <x:c r="A2" s="13" t="str">
        <x:v>eval-v1.3-phase0</x:v>
      </x:c>
      <x:c r="B2" s="13" t="str">
        <x:v>baseline-failure</x:v>
      </x:c>
      <x:c r="C2" s="13" t="str">
        <x:v>person-003</x:v>
      </x:c>
      <x:c r="D2" s="13" t="str">
        <x:v>FULL_NAME</x:v>
      </x:c>
      <x:c r="E2" s="13" t="str">
        <x:v>baseline</x:v>
      </x:c>
      <x:c r="F2" s="13" t="str">
        <x:v>medium</x:v>
      </x:c>
      <x:c r="G2" s="13" t="str">
        <x:v>phase0
failure</x:v>
      </x:c>
      <x:c r="H2" s="13" t="str">
        <x:v>FAILED</x:v>
      </x:c>
      <x:c r="I2" s="13" t="n">
        <x:v>0</x:v>
      </x:c>
      <x:c r="J2" s="13" t="str">
        <x:v>GetTask</x:v>
      </x:c>
      <x:c r="K2" s="14" t="str"/>
      <x:c r="L2" s="13" t="str">
        <x:f>IF(ISNUMBER(K2),--(K2&lt;=1),"")</x:f>
      </x:c>
      <x:c r="M2" s="13" t="str">
        <x:f>IF(ISNUMBER(K2),--(K2&lt;=3),"")</x:f>
      </x:c>
      <x:c r="N2" s="13" t="str">
        <x:f>IF(ISNUMBER(K2),--(K2&lt;=5),"")</x:f>
      </x:c>
      <x:c r="O2" s="13" t="str">
        <x:f>IF(ISNUMBER(K2),IF(AND(K2&gt;=1,K2&lt;=5),1/K2,0),"")</x:f>
      </x:c>
      <x:c r="P2" s="14" t="str"/>
      <x:c r="Q2" s="14" t="str"/>
    </x:row>
    <x:row r="3" ht="42" customHeight="1">
      <x:c r="A3" s="13" t="str">
        <x:v>eval-v1.3-phase0</x:v>
      </x:c>
      <x:c r="B3" s="13" t="str">
        <x:v>baseline-full-name</x:v>
      </x:c>
      <x:c r="C3" s="13" t="str">
        <x:v>person-001</x:v>
      </x:c>
      <x:c r="D3" s="13" t="str">
        <x:v>FULL_NAME</x:v>
      </x:c>
      <x:c r="E3" s="13" t="str">
        <x:v>baseline</x:v>
      </x:c>
      <x:c r="F3" s="13" t="str">
        <x:v>low</x:v>
      </x:c>
      <x:c r="G3" s="13" t="str">
        <x:v>phase0
success</x:v>
      </x:c>
      <x:c r="H3" s="13" t="str">
        <x:v>SUCCESS</x:v>
      </x:c>
      <x:c r="I3" s="13" t="n">
        <x:v>2</x:v>
      </x:c>
      <x:c r="J3" s="13" t="str"/>
      <x:c r="K3" s="14" t="str"/>
      <x:c r="L3" s="13" t="str">
        <x:f>IF(ISNUMBER(K3),--(K3&lt;=1),"")</x:f>
      </x:c>
      <x:c r="M3" s="13" t="str">
        <x:f>IF(ISNUMBER(K3),--(K3&lt;=3),"")</x:f>
      </x:c>
      <x:c r="N3" s="13" t="str">
        <x:f>IF(ISNUMBER(K3),--(K3&lt;=5),"")</x:f>
      </x:c>
      <x:c r="O3" s="13" t="str">
        <x:f>IF(ISNUMBER(K3),IF(AND(K3&gt;=1,K3&lt;=5),1/K3,0),"")</x:f>
      </x:c>
      <x:c r="P3" s="14" t="str"/>
      <x:c r="Q3" s="14" t="str"/>
    </x:row>
    <x:row r="4" ht="42" customHeight="1">
      <x:c r="A4" s="13" t="str">
        <x:v>eval-v1.3-phase0</x:v>
      </x:c>
      <x:c r="B4" s="13" t="str">
        <x:v>baseline-full-name-social</x:v>
      </x:c>
      <x:c r="C4" s="13" t="str">
        <x:v>person-002</x:v>
      </x:c>
      <x:c r="D4" s="13" t="str">
        <x:v>FULL_NAME_SOCIAL</x:v>
      </x:c>
      <x:c r="E4" s="13" t="str">
        <x:v>baseline</x:v>
      </x:c>
      <x:c r="F4" s="13" t="str">
        <x:v>medium</x:v>
      </x:c>
      <x:c r="G4" s="13" t="str">
        <x:v>phase0
no_candidate</x:v>
      </x:c>
      <x:c r="H4" s="13" t="str">
        <x:v>NO_CANDIDATE</x:v>
      </x:c>
      <x:c r="I4" s="13" t="n">
        <x:v>0</x:v>
      </x:c>
      <x:c r="J4" s="13" t="str"/>
      <x:c r="K4" s="14" t="str"/>
      <x:c r="L4" s="13" t="str">
        <x:f>IF(ISNUMBER(K4),--(K4&lt;=1),"")</x:f>
      </x:c>
      <x:c r="M4" s="13" t="str">
        <x:f>IF(ISNUMBER(K4),--(K4&lt;=3),"")</x:f>
      </x:c>
      <x:c r="N4" s="13" t="str">
        <x:f>IF(ISNUMBER(K4),--(K4&lt;=5),"")</x:f>
      </x:c>
      <x:c r="O4" s="13" t="str">
        <x:f>IF(ISNUMBER(K4),IF(AND(K4&gt;=1,K4&lt;=5),1/K4,0),"")</x:f>
      </x:c>
      <x:c r="P4" s="14" t="str"/>
      <x:c r="Q4" s="14" t="str"/>
    </x:row>
  </x:sheetData>
  <x:pageMargins left="0.7" right="0.7" top="0.75" bottom="0.75" header="0.3" footer="0.3"/>
  <x:tableParts count="1">
    <x:tablePart xmlns:r="http://schemas.openxmlformats.org/officeDocument/2006/relationships" r:id="Rf4f595b8230c4b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4" hidden="0" customWidth="1"/>
    <x:col min="8" max="8" width="20" hidden="0" customWidth="1"/>
    <x:col min="9" max="9" width="18" hidden="0" customWidth="1"/>
    <x:col min="10" max="10" width="15" hidden="0" customWidth="1"/>
  </x:cols>
  <x:sheetData>
    <x:row r="1" ht="30" customHeight="1">
      <x:c r="A1" s="9" t="str">
        <x:v>evaluation_id</x:v>
      </x:c>
      <x:c r="B1" s="10" t="str">
        <x:v>run_label</x:v>
      </x:c>
      <x:c r="C1" s="10" t="str">
        <x:v>system_version</x:v>
      </x:c>
      <x:c r="D1" s="10" t="str">
        <x:v>query_id</x:v>
      </x:c>
      <x:c r="E1" s="10" t="str">
        <x:v>task_id</x:v>
      </x:c>
      <x:c r="F1" s="10" t="str">
        <x:v>stage</x:v>
      </x:c>
      <x:c r="G1" s="10" t="str">
        <x:v>error</x:v>
      </x:c>
      <x:c r="H1" s="10" t="str">
        <x:v>failure_type</x:v>
      </x:c>
      <x:c r="I1" s="10" t="str">
        <x:v>source_file</x:v>
      </x:c>
      <x:c r="J1" s="11" t="str">
        <x:v>source_line</x:v>
      </x:c>
    </x:row>
    <x:row r="2" ht="42" customHeight="1">
      <x:c r="A2" s="13" t="str">
        <x:v>eval-v1.3-phase0</x:v>
      </x:c>
      <x:c r="B2" s="13" t="str">
        <x:v>baseline</x:v>
      </x:c>
      <x:c r="C2" s="13" t="str">
        <x:v>phase0</x:v>
      </x:c>
      <x:c r="D2" s="13" t="str">
        <x:v>baseline-failure</x:v>
      </x:c>
      <x:c r="E2" s="13" t="str">
        <x:v>task-baseline-003</x:v>
      </x:c>
      <x:c r="F2" s="13" t="str">
        <x:v>GetTask</x:v>
      </x:c>
      <x:c r="G2" s="13" t="str">
        <x:v>阶段0脱敏夹具：任务轮询超时</x:v>
      </x:c>
      <x:c r="H2" s="13" t="str">
        <x:v>PIPELINE_FAILURE</x:v>
      </x:c>
      <x:c r="I2" s="13" t="str"/>
      <x:c r="J2" s="13" t="str"/>
    </x:row>
  </x:sheetData>
  <x:pageMargins left="0.7" right="0.7" top="0.75" bottom="0.75" header="0.3" footer="0.3"/>
  <x:tableParts count="1">
    <x:tablePart xmlns:r="http://schemas.openxmlformats.org/officeDocument/2006/relationships" r:id="R953a29d859424c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4" max="4" width="8" hidden="0" customWidth="1"/>
    <x:col min="5" max="5" width="25" hidden="0" customWidth="1"/>
    <x:col min="6" max="6" width="30" hidden="0" customWidth="1"/>
    <x:col min="7" max="7" width="52" hidden="0" customWidth="1"/>
    <x:col min="8" max="8" width="28" hidden="0" customWidth="1"/>
    <x:col min="9" max="9" width="28" hidden="0" customWidth="1"/>
    <x:col min="10" max="10" width="14" hidden="0" customWidth="1"/>
    <x:col min="11" max="11" width="24" hidden="0" customWidth="1"/>
    <x:col min="12" max="12" width="40" hidden="0" customWidth="1"/>
  </x:cols>
  <x:sheetData>
    <x:row r="1" ht="30" customHeight="1">
      <x:c r="A1" s="9" t="str">
        <x:v>item</x:v>
      </x:c>
      <x:c r="B1" s="11" t="str">
        <x:v>value</x:v>
      </x:c>
      <x:c r="D1" s="23" t="str">
        <x:v>序号</x:v>
      </x:c>
      <x:c r="E1" s="24" t="str">
        <x:v>当前表头</x:v>
      </x:c>
      <x:c r="F1" s="24" t="str">
        <x:v>中文含义</x:v>
      </x:c>
      <x:c r="G1" s="24" t="str">
        <x:v>来源路径/生成规则</x:v>
      </x:c>
      <x:c r="H1" s="24" t="str">
        <x:v>内容格式</x:v>
      </x:c>
      <x:c r="I1" s="24" t="str">
        <x:v>示例格式</x:v>
      </x:c>
      <x:c r="J1" s="24" t="str">
        <x:v>是否保留</x:v>
      </x:c>
      <x:c r="K1" s="24" t="str">
        <x:v>新表头</x:v>
      </x:c>
      <x:c r="L1" s="25" t="str">
        <x:v>处理规则/备注</x:v>
      </x:c>
    </x:row>
    <x:row r="2" ht="36" customHeight="1">
      <x:c r="A2" s="13" t="str">
        <x:v>evaluation_id</x:v>
      </x:c>
      <x:c r="B2" s="13" t="str">
        <x:v>eval-v1.3-phase0</x:v>
      </x:c>
      <x:c r="D2" s="13" t="n">
        <x:v>1</x:v>
      </x:c>
      <x:c r="E2" s="13" t="str">
        <x:v>evaluation_id</x:v>
      </x:c>
      <x:c r="F2" s="13" t="str">
        <x:v>本次评测批次标识</x:v>
      </x:c>
      <x:c r="G2" s="13" t="str">
        <x:v>导出参数 --evaluation-id</x:v>
      </x:c>
      <x:c r="H2" s="13" t="str">
        <x:v>文本</x:v>
      </x:c>
      <x:c r="I2" s="13" t="str">
        <x:v>eval-20260722</x:v>
      </x:c>
      <x:c r="J2" s="14" t="str">
        <x:v>是</x:v>
      </x:c>
      <x:c r="K2" s="14" t="str"/>
      <x:c r="L2" s="14" t="str"/>
    </x:row>
    <x:row r="3" ht="36" customHeight="1">
      <x:c r="A3" s="13" t="str">
        <x:v>运行模式</x:v>
      </x:c>
      <x:c r="B3" s="13" t="str">
        <x:v>single</x:v>
      </x:c>
      <x:c r="D3" s="13" t="n">
        <x:v>2</x:v>
      </x:c>
      <x:c r="E3" s="13" t="str">
        <x:v>run_label</x:v>
      </x:c>
      <x:c r="F3" s="13" t="str">
        <x:v>本行所属运行标签</x:v>
      </x:c>
      <x:c r="G3" s="13" t="str">
        <x:v>导出参数 --run-label</x:v>
      </x:c>
      <x:c r="H3" s="13" t="str">
        <x:v>文本</x:v>
      </x:c>
      <x:c r="I3" s="13" t="str">
        <x:v>current / baseline / candidate</x:v>
      </x:c>
      <x:c r="J3" s="14" t="str">
        <x:v>是</x:v>
      </x:c>
      <x:c r="K3" s="14" t="str"/>
      <x:c r="L3" s="14" t="str">
        <x:v>基准 Run 使用 baseline；接口检索返回结果使用 candidate（单 Run 传 --run-label candidate）</x:v>
      </x:c>
    </x:row>
    <x:row r="4" ht="36" customHeight="1">
      <x:c r="A4" s="13" t="str">
        <x:v>生成时间</x:v>
      </x:c>
      <x:c r="B4" s="13" t="str">
        <x:v>UTC 2026-07-23T10:39:00.733Z</x:v>
      </x:c>
      <x:c r="D4" s="13" t="n">
        <x:v>3</x:v>
      </x:c>
      <x:c r="E4" s="13" t="str">
        <x:v>system_version</x:v>
      </x:c>
      <x:c r="F4" s="13" t="str">
        <x:v>被测系统版本</x:v>
      </x:c>
      <x:c r="G4" s="13" t="str">
        <x:v>导出参数 --system-version</x:v>
      </x:c>
      <x:c r="H4" s="13" t="str">
        <x:v>文本</x:v>
      </x:c>
      <x:c r="I4" s="13" t="str">
        <x:v>v1.2</x:v>
      </x:c>
      <x:c r="J4" s="14" t="str">
        <x:v>否</x:v>
      </x:c>
      <x:c r="K4" s="14" t="str"/>
      <x:c r="L4" s="14" t="str"/>
    </x:row>
    <x:row r="5" ht="36" customHeight="1">
      <x:c r="A5" s="13" t="str">
        <x:v>Run</x:v>
      </x:c>
      <x:c r="B5" s="13" t="str">
        <x:v>baseline | phase0 | /Users/admin/Testproject/Truthy_Search/tests/fixtures/v1_3_baseline/results.jsonl</x:v>
      </x:c>
      <x:c r="D5" s="13" t="n">
        <x:v>4</x:v>
      </x:c>
      <x:c r="E5" s="13" t="str">
        <x:v>query_id</x:v>
      </x:c>
      <x:c r="F5" s="13" t="str">
        <x:v>查询唯一标识</x:v>
      </x:c>
      <x:c r="G5" s="13" t="str">
        <x:v>results.jsonl.input_id</x:v>
      </x:c>
      <x:c r="H5" s="13" t="str">
        <x:v>文本</x:v>
      </x:c>
      <x:c r="I5" s="13" t="str">
        <x:v>query-001</x:v>
      </x:c>
      <x:c r="J5" s="14" t="str">
        <x:v>是</x:v>
      </x:c>
      <x:c r="K5" s="14" t="str"/>
      <x:c r="L5" s="14" t="str"/>
    </x:row>
    <x:row r="6" ht="36" customHeight="1">
      <x:c r="A6" s="13" t="str">
        <x:v>Query 元数据</x:v>
      </x:c>
      <x:c r="B6" s="13" t="str">
        <x:v>/Users/admin/Testproject/Truthy_Search/tests/fixtures/v1_3_baseline/query_metadata.jsonl</x:v>
      </x:c>
      <x:c r="D6" s="13" t="n">
        <x:v>5</x:v>
      </x:c>
      <x:c r="E6" s="13" t="str">
        <x:v>person_id</x:v>
      </x:c>
      <x:c r="F6" s="13" t="str">
        <x:v>被检索人物标识</x:v>
      </x:c>
      <x:c r="G6" s="13" t="str">
        <x:v>Query 元数据.person_id</x:v>
      </x:c>
      <x:c r="H6" s="13" t="str">
        <x:v>文本或空值</x:v>
      </x:c>
      <x:c r="I6" s="13" t="str">
        <x:v>person-001</x:v>
      </x:c>
      <x:c r="J6" s="14" t="str">
        <x:v>是</x:v>
      </x:c>
      <x:c r="K6" s="14" t="str"/>
      <x:c r="L6" s="14" t="str"/>
    </x:row>
    <x:row r="7" ht="36" customHeight="1">
      <x:c r="A7" s="13" t="str">
        <x:v>候选人数</x:v>
      </x:c>
      <x:c r="B7" s="13" t="n">
        <x:v>2</x:v>
      </x:c>
      <x:c r="D7" s="13" t="n">
        <x:v>6</x:v>
      </x:c>
      <x:c r="E7" s="13" t="str">
        <x:v>query_type</x:v>
      </x:c>
      <x:c r="F7" s="13" t="str">
        <x:v>查询类型</x:v>
      </x:c>
      <x:c r="G7" s="13" t="str">
        <x:v>Query 元数据.query_type</x:v>
      </x:c>
      <x:c r="H7" s="13" t="str">
        <x:v>文本或空值</x:v>
      </x:c>
      <x:c r="I7" s="13" t="str">
        <x:v>Q1</x:v>
      </x:c>
      <x:c r="J7" s="14" t="str">
        <x:v>是</x:v>
      </x:c>
      <x:c r="K7" s="14" t="str"/>
      <x:c r="L7" s="14" t="str"/>
    </x:row>
    <x:row r="8" ht="36" customHeight="1">
      <x:c r="A8" s="13" t="str">
        <x:v>Query 数</x:v>
      </x:c>
      <x:c r="B8" s="13" t="n">
        <x:v>3</x:v>
      </x:c>
      <x:c r="D8" s="13" t="n">
        <x:v>7</x:v>
      </x:c>
      <x:c r="E8" s="13" t="str">
        <x:v>person_group</x:v>
      </x:c>
      <x:c r="F8" s="13" t="str">
        <x:v>人物分组</x:v>
      </x:c>
      <x:c r="G8" s="13" t="str">
        <x:v>Query 元数据.person_group</x:v>
      </x:c>
      <x:c r="H8" s="13" t="str">
        <x:v>文本或空值</x:v>
      </x:c>
      <x:c r="I8" s="13" t="str">
        <x:v>C</x:v>
      </x:c>
      <x:c r="J8" s="14" t="str">
        <x:v>否</x:v>
      </x:c>
      <x:c r="K8" s="14" t="str"/>
      <x:c r="L8" s="14" t="str"/>
    </x:row>
    <x:row r="9" ht="36" customHeight="1">
      <x:c r="A9" s="13" t="str">
        <x:v>失败/输入异常数</x:v>
      </x:c>
      <x:c r="B9" s="13" t="n">
        <x:v>1</x:v>
      </x:c>
      <x:c r="D9" s="13" t="n">
        <x:v>8</x:v>
      </x:c>
      <x:c r="E9" s="13" t="str">
        <x:v>difficulty</x:v>
      </x:c>
      <x:c r="F9" s="13" t="str">
        <x:v>查询难度</x:v>
      </x:c>
      <x:c r="G9" s="13" t="str">
        <x:v>Query 元数据.difficulty</x:v>
      </x:c>
      <x:c r="H9" s="13" t="str">
        <x:v>文本或空值</x:v>
      </x:c>
      <x:c r="I9" s="13" t="str">
        <x:v>medium</x:v>
      </x:c>
      <x:c r="J9" s="14" t="str">
        <x:v>否</x:v>
      </x:c>
      <x:c r="K9" s="14" t="str"/>
      <x:c r="L9" s="14" t="str"/>
    </x:row>
    <x:row r="10" ht="36" customHeight="1">
      <x:c r="A10" s="13" t="str">
        <x:v>Raw 引用数据块数</x:v>
      </x:c>
      <x:c r="B10" s="13" t="n">
        <x:v>0</x:v>
      </x:c>
      <x:c r="D10" s="13" t="n">
        <x:v>9</x:v>
      </x:c>
      <x:c r="E10" s="13" t="str">
        <x:v>tags</x:v>
      </x:c>
      <x:c r="F10" s="13" t="str">
        <x:v>查询标签</x:v>
      </x:c>
      <x:c r="G10" s="13" t="str">
        <x:v>Query 元数据.tags</x:v>
      </x:c>
      <x:c r="H10" s="13" t="str">
        <x:v>多行文本；每个标签一行</x:v>
      </x:c>
      <x:c r="I10" s="13" t="str">
        <x:v>common_name\nfew_clues</x:v>
      </x:c>
      <x:c r="J10" s="14" t="str">
        <x:v>否</x:v>
      </x:c>
      <x:c r="K10" s="14" t="str"/>
      <x:c r="L10" s="14" t="str"/>
    </x:row>
    <x:row r="11" ht="36" customHeight="1">
      <x:c r="A11" s="13" t="str">
        <x:v>评测口径</x:v>
      </x:c>
      <x:c r="B11" s="13" t="str">
        <x:v>当前只处理 Top 5；系统 confidence 不等于人工身份结论</x:v>
      </x:c>
      <x:c r="D11" s="13" t="n">
        <x:v>10</x:v>
      </x:c>
      <x:c r="E11" s="13" t="str">
        <x:v>task_id</x:v>
      </x:c>
      <x:c r="F11" s="13" t="str">
        <x:v>搜索任务标识</x:v>
      </x:c>
      <x:c r="G11" s="13" t="str">
        <x:v>results.jsonl.task_id</x:v>
      </x:c>
      <x:c r="H11" s="13" t="str">
        <x:v>文本</x:v>
      </x:c>
      <x:c r="I11" s="13" t="str">
        <x:v>task-001</x:v>
      </x:c>
      <x:c r="J11" s="14" t="str">
        <x:v>是</x:v>
      </x:c>
      <x:c r="K11" s="14" t="str"/>
      <x:c r="L11" s="14" t="str"/>
    </x:row>
    <x:row r="12" ht="36" customHeight="1">
      <x:c r="A12" s="13" t="str">
        <x:v>Profile 规则</x:v>
      </x:c>
      <x:c r="B12" s="13" t="str">
        <x:v>baseline/candidate 字段并集；列名为 profile.&lt;section&gt;.&lt;label&gt;</x:v>
      </x:c>
      <x:c r="D12" s="13" t="n">
        <x:v>11</x:v>
      </x:c>
      <x:c r="E12" s="13" t="str">
        <x:v>candidate_id</x:v>
      </x:c>
      <x:c r="F12" s="13" t="str">
        <x:v>候选人唯一标识</x:v>
      </x:c>
      <x:c r="G12" s="13" t="str">
        <x:v>results[].candidate_id</x:v>
      </x:c>
      <x:c r="H12" s="13" t="str">
        <x:v>文本</x:v>
      </x:c>
      <x:c r="I12" s="13" t="str">
        <x:v>candidate-001</x:v>
      </x:c>
      <x:c r="J12" s="14" t="str">
        <x:v>是</x:v>
      </x:c>
      <x:c r="K12" s="14" t="str"/>
      <x:c r="L12" s="14" t="str">
        <x:v>该列移到 task_id 右侧</x:v>
      </x:c>
    </x:row>
    <x:row r="13" ht="36" customHeight="1">
      <x:c r="A13" s="13" t="str">
        <x:v>人工复核</x:v>
      </x:c>
      <x:c r="B13" s="13" t="str">
        <x:v>黄色单元格为人工填写区域；先确认身份，再评价字段</x:v>
      </x:c>
      <x:c r="D13" s="13" t="n">
        <x:v>12</x:v>
      </x:c>
      <x:c r="E13" s="13" t="str">
        <x:v>candidate_count_total</x:v>
      </x:c>
      <x:c r="F13" s="13" t="str">
        <x:v>本次查询返回的候选人总数</x:v>
      </x:c>
      <x:c r="G13" s="13" t="str">
        <x:v>results.jsonl.candidate_count_total（GetTask.data.candidate_count）</x:v>
      </x:c>
      <x:c r="H13" s="13" t="str">
        <x:v>整数或空值</x:v>
      </x:c>
      <x:c r="I13" s="13" t="str">
        <x:v>8</x:v>
      </x:c>
      <x:c r="J13" s="14" t="str">
        <x:v>是</x:v>
      </x:c>
      <x:c r="K13" s="14" t="str"/>
      <x:c r="L13" s="14" t="str"/>
    </x:row>
    <x:row r="14" ht="36" customHeight="1">
      <x:c r="D14" s="13" t="n">
        <x:v>13</x:v>
      </x:c>
      <x:c r="E14" s="13" t="str">
        <x:v>candidate_rank</x:v>
      </x:c>
      <x:c r="F14" s="13" t="str">
        <x:v>候选人在本次查询中的名次</x:v>
      </x:c>
      <x:c r="G14" s="13" t="str">
        <x:v>results[].candidate_rank；旧数据缺失时按数组顺序生成</x:v>
      </x:c>
      <x:c r="H14" s="13" t="str">
        <x:v>正整数，当前通常为 1–5</x:v>
      </x:c>
      <x:c r="I14" s="13" t="str">
        <x:v>1</x:v>
      </x:c>
      <x:c r="J14" s="14" t="str">
        <x:v>是</x:v>
      </x:c>
      <x:c r="K14" s="14" t="str"/>
      <x:c r="L14" s="14" t="str"/>
    </x:row>
    <x:row r="15" ht="36" customHeight="1">
      <x:c r="D15" s="13" t="n">
        <x:v>14</x:v>
      </x:c>
      <x:c r="E15" s="13" t="str">
        <x:v>rank_score</x:v>
      </x:c>
      <x:c r="F15" s="13" t="str">
        <x:v>候选人的接口排序分数</x:v>
      </x:c>
      <x:c r="G15" s="13" t="str">
        <x:v>results[].rank_score（ListTaskCandidates item）</x:v>
      </x:c>
      <x:c r="H15" s="13" t="str">
        <x:v>数值或空值</x:v>
      </x:c>
      <x:c r="I15" s="13" t="str">
        <x:v>0.91</x:v>
      </x:c>
      <x:c r="J15" s="14" t="str">
        <x:v>是</x:v>
      </x:c>
      <x:c r="K15" s="14" t="str"/>
      <x:c r="L15" s="14" t="str"/>
    </x:row>
    <x:row r="16" ht="36" customHeight="1">
      <x:c r="D16" s="13" t="n">
        <x:v>15</x:v>
      </x:c>
      <x:c r="E16" s="13" t="str">
        <x:v>insights_status</x:v>
      </x:c>
      <x:c r="F16" s="13" t="str">
        <x:v>洞察模块状态</x:v>
      </x:c>
      <x:c r="G16" s="13" t="str">
        <x:v>results[].ui_sections.insights.status</x:v>
      </x:c>
      <x:c r="H16" s="13" t="str">
        <x:v>枚举文本或空值</x:v>
      </x:c>
      <x:c r="I16" s="13" t="str">
        <x:v>data</x:v>
      </x:c>
      <x:c r="J16" s="14" t="str">
        <x:v>是</x:v>
      </x:c>
      <x:c r="K16" s="14" t="str"/>
      <x:c r="L16" s="14" t="str"/>
    </x:row>
    <x:row r="17" ht="36" customHeight="1">
      <x:c r="D17" s="13" t="n">
        <x:v>16</x:v>
      </x:c>
      <x:c r="E17" s="13" t="str">
        <x:v>insights_description</x:v>
      </x:c>
      <x:c r="F17" s="13" t="str">
        <x:v>第一条洞察描述</x:v>
      </x:c>
      <x:c r="G17" s="13" t="str">
        <x:v>results[].ui_sections.insights.data.items[0].description</x:v>
      </x:c>
      <x:c r="H17" s="13" t="str">
        <x:v>文本或空值</x:v>
      </x:c>
      <x:c r="I17" s="13" t="str">
        <x:v>Known public profile</x:v>
      </x:c>
      <x:c r="J17" s="14" t="str">
        <x:v>是</x:v>
      </x:c>
      <x:c r="K17" s="14" t="str"/>
      <x:c r="L17" s="14" t="str"/>
    </x:row>
    <x:row r="18" ht="36" customHeight="1">
      <x:c r="D18" s="13" t="n">
        <x:v>17</x:v>
      </x:c>
      <x:c r="E18" s="13" t="str">
        <x:v>insights_links</x:v>
      </x:c>
      <x:c r="F18" s="13" t="str">
        <x:v>第一条洞察的证据链接</x:v>
      </x:c>
      <x:c r="G18" s="13" t="str">
        <x:v>results[].ui_sections.insights.data.items[0].links</x:v>
      </x:c>
      <x:c r="H18" s="13" t="str">
        <x:v>多行文本；每条 title：url</x:v>
      </x:c>
      <x:c r="I18" s="13" t="str">
        <x:v>Public source：https://...</x:v>
      </x:c>
      <x:c r="J18" s="14" t="str">
        <x:v>是</x:v>
      </x:c>
      <x:c r="K18" s="14" t="str"/>
      <x:c r="L18" s="14" t="str">
        <x:v>处理成 title：url；多条链接逐条换行；缺少 title 时只保留 url</x:v>
      </x:c>
    </x:row>
    <x:row r="19" ht="36" customHeight="1">
      <x:c r="D19" s="13" t="n">
        <x:v>18</x:v>
      </x:c>
      <x:c r="E19" s="13" t="str">
        <x:v>insights_data</x:v>
      </x:c>
      <x:c r="F19" s="13" t="str">
        <x:v>洞察模块完整 data</x:v>
      </x:c>
      <x:c r="G19" s="13" t="str">
        <x:v>results[].ui_sections.insights.data</x:v>
      </x:c>
      <x:c r="H19" s="13" t="str">
        <x:v>JSON 文本；超长转 Raw数据</x:v>
      </x:c>
      <x:c r="I19" s="13" t="str">
        <x:v>{"count":1,...}</x:v>
      </x:c>
      <x:c r="J19" s="14" t="str">
        <x:v>否</x:v>
      </x:c>
      <x:c r="K19" s="14" t="str"/>
      <x:c r="L19" s="14" t="str"/>
    </x:row>
    <x:row r="20" ht="36" customHeight="1">
      <x:c r="D20" s="13" t="n">
        <x:v>19</x:v>
      </x:c>
      <x:c r="E20" s="13" t="str">
        <x:v>photos_status</x:v>
      </x:c>
      <x:c r="F20" s="13" t="str">
        <x:v>照片模块状态</x:v>
      </x:c>
      <x:c r="G20" s="13" t="str">
        <x:v>results[].ui_sections.photos.status</x:v>
      </x:c>
      <x:c r="H20" s="13" t="str">
        <x:v>枚举文本或空值</x:v>
      </x:c>
      <x:c r="I20" s="13" t="str">
        <x:v>data</x:v>
      </x:c>
      <x:c r="J20" s="14" t="str">
        <x:v>是</x:v>
      </x:c>
      <x:c r="K20" s="14" t="str"/>
      <x:c r="L20" s="14" t="str"/>
    </x:row>
    <x:row r="21" ht="36" customHeight="1">
      <x:c r="D21" s="13" t="n">
        <x:v>20</x:v>
      </x:c>
      <x:c r="E21" s="13" t="str">
        <x:v>photos_baseline_photo_url</x:v>
      </x:c>
      <x:c r="F21" s="13" t="str">
        <x:v>基准照片地址</x:v>
      </x:c>
      <x:c r="G21" s="13" t="str">
        <x:v>results[].ui_sections.photos.data.baseline_photo_url</x:v>
      </x:c>
      <x:c r="H21" s="13" t="str">
        <x:v>URL 文本或空值</x:v>
      </x:c>
      <x:c r="I21" s="13" t="str">
        <x:v>https://.../base.jpg</x:v>
      </x:c>
      <x:c r="J21" s="14" t="str">
        <x:v>是</x:v>
      </x:c>
      <x:c r="K21" s="14" t="str"/>
      <x:c r="L21" s="14" t="str"/>
    </x:row>
    <x:row r="22" ht="36" customHeight="1">
      <x:c r="D22" s="13" t="n">
        <x:v>21</x:v>
      </x:c>
      <x:c r="E22" s="13" t="str">
        <x:v>photos_identity_match_rate</x:v>
      </x:c>
      <x:c r="F22" s="13" t="str">
        <x:v>照片身份匹配率</x:v>
      </x:c>
      <x:c r="G22" s="13" t="str">
        <x:v>results[].ui_sections.photos.data.identity_match_rate</x:v>
      </x:c>
      <x:c r="H22" s="13" t="str">
        <x:v>数值或空值</x:v>
      </x:c>
      <x:c r="I22" s="13" t="str">
        <x:v>0.75</x:v>
      </x:c>
      <x:c r="J22" s="14" t="str">
        <x:v>是</x:v>
      </x:c>
      <x:c r="K22" s="14" t="str"/>
      <x:c r="L22" s="14" t="str"/>
    </x:row>
    <x:row r="23" ht="36" customHeight="1">
      <x:c r="D23" s="13" t="n">
        <x:v>22</x:v>
      </x:c>
      <x:c r="E23" s="13" t="str">
        <x:v>photos_authenticity_photos</x:v>
      </x:c>
      <x:c r="F23" s="13" t="str">
        <x:v>真实性照片集合</x:v>
      </x:c>
      <x:c r="G23" s="13" t="str">
        <x:v>results[].ui_sections.photos.data.authenticity_photos</x:v>
      </x:c>
      <x:c r="H23" s="13" t="str">
        <x:v>JSON 文本或空值</x:v>
      </x:c>
      <x:c r="I23" s="13" t="str">
        <x:v>[{"url":"https://..."}]</x:v>
      </x:c>
      <x:c r="J23" s="14" t="str">
        <x:v>是</x:v>
      </x:c>
      <x:c r="K23" s="14" t="str"/>
      <x:c r="L23" s="14" t="str"/>
    </x:row>
    <x:row r="24" ht="36" customHeight="1">
      <x:c r="D24" s="13" t="n">
        <x:v>23</x:v>
      </x:c>
      <x:c r="E24" s="13" t="str">
        <x:v>photos_match_photos</x:v>
      </x:c>
      <x:c r="F24" s="13" t="str">
        <x:v>匹配照片集合</x:v>
      </x:c>
      <x:c r="G24" s="13" t="str">
        <x:v>results[].ui_sections.photos.data.match_photos</x:v>
      </x:c>
      <x:c r="H24" s="13" t="str">
        <x:v>JSON 文本或空值</x:v>
      </x:c>
      <x:c r="I24" s="13" t="str">
        <x:v>[]</x:v>
      </x:c>
      <x:c r="J24" s="14" t="str">
        <x:v>是</x:v>
      </x:c>
      <x:c r="K24" s="14" t="str"/>
      <x:c r="L24" s="14" t="str"/>
    </x:row>
    <x:row r="25" ht="36" customHeight="1">
      <x:c r="D25" s="13" t="n">
        <x:v>24</x:v>
      </x:c>
      <x:c r="E25" s="13" t="str">
        <x:v>photos_data</x:v>
      </x:c>
      <x:c r="F25" s="13" t="str">
        <x:v>照片模块完整 data</x:v>
      </x:c>
      <x:c r="G25" s="13" t="str">
        <x:v>results[].ui_sections.photos.data</x:v>
      </x:c>
      <x:c r="H25" s="13" t="str">
        <x:v>JSON 文本；超长转 Raw数据</x:v>
      </x:c>
      <x:c r="I25" s="13" t="str">
        <x:v>{"baseline_photo_url":...}</x:v>
      </x:c>
      <x:c r="J25" s="14" t="str">
        <x:v>否</x:v>
      </x:c>
      <x:c r="K25" s="14" t="str"/>
      <x:c r="L25" s="14" t="str"/>
    </x:row>
    <x:row r="26" ht="36" customHeight="1">
      <x:c r="D26" s="13" t="n">
        <x:v>25</x:v>
      </x:c>
      <x:c r="E26" s="13" t="str">
        <x:v>profile_status</x:v>
      </x:c>
      <x:c r="F26" s="13" t="str">
        <x:v>档案模块状态</x:v>
      </x:c>
      <x:c r="G26" s="13" t="str">
        <x:v>results[].ui_sections.profile.status</x:v>
      </x:c>
      <x:c r="H26" s="13" t="str">
        <x:v>枚举文本或空值</x:v>
      </x:c>
      <x:c r="I26" s="13" t="str">
        <x:v>data</x:v>
      </x:c>
      <x:c r="J26" s="14" t="str">
        <x:v>是</x:v>
      </x:c>
      <x:c r="K26" s="14" t="str"/>
      <x:c r="L26" s="14" t="str"/>
    </x:row>
    <x:row r="27" ht="36" customHeight="1">
      <x:c r="D27" s="13" t="n">
        <x:v>26</x:v>
      </x:c>
      <x:c r="E27" s="13" t="str">
        <x:v>profile_data</x:v>
      </x:c>
      <x:c r="F27" s="13" t="str">
        <x:v>档案模块完整 data</x:v>
      </x:c>
      <x:c r="G27" s="13" t="str">
        <x:v>results[].ui_sections.profile.data</x:v>
      </x:c>
      <x:c r="H27" s="13" t="str">
        <x:v>JSON 文本；超长转 Raw数据</x:v>
      </x:c>
      <x:c r="I27" s="13" t="str">
        <x:v>{"sections":[...]}</x:v>
      </x:c>
      <x:c r="J27" s="14" t="str">
        <x:v>否</x:v>
      </x:c>
      <x:c r="K27" s="14" t="str"/>
      <x:c r="L27" s="14" t="str"/>
    </x:row>
    <x:row r="28" ht="36" customHeight="1">
      <x:c r="D28" s="13" t="n">
        <x:v>27</x:v>
      </x:c>
      <x:c r="E28" s="13" t="str">
        <x:v>profile.Identity.Full Name</x:v>
      </x:c>
      <x:c r="F28" s="13" t="str">
        <x:v>Profile「Identity」中的「Full Name」</x:v>
      </x:c>
      <x:c r="G28" s="13" t="str">
        <x:v>results[].ui_sections.profile.data.sections[title=Identity].items[label=Full Name].value</x:v>
      </x:c>
      <x:c r="H28" s="13" t="str">
        <x:v>文本；重复值换行</x:v>
      </x:c>
      <x:c r="I28" s="13" t="str">
        <x:v>文本</x:v>
      </x:c>
      <x:c r="J28" s="14" t="str">
        <x:v>是</x:v>
      </x:c>
      <x:c r="K28" s="14" t="str"/>
      <x:c r="L28" s="14" t="str"/>
    </x:row>
    <x:row r="29" ht="36" customHeight="1">
      <x:c r="D29" s="13" t="n">
        <x:v>28</x:v>
      </x:c>
      <x:c r="E29" s="13" t="str">
        <x:v>profile.Identity.Location</x:v>
      </x:c>
      <x:c r="F29" s="13" t="str">
        <x:v>Profile「Identity」中的「Location」</x:v>
      </x:c>
      <x:c r="G29" s="13" t="str">
        <x:v>results[].ui_sections.profile.data.sections[title=Identity].items[label=Location].value</x:v>
      </x:c>
      <x:c r="H29" s="13" t="str">
        <x:v>文本；重复值换行</x:v>
      </x:c>
      <x:c r="I29" s="13" t="str">
        <x:v>文本</x:v>
      </x:c>
      <x:c r="J29" s="14" t="str">
        <x:v>是</x:v>
      </x:c>
      <x:c r="K29" s="14" t="str"/>
      <x:c r="L29" s="14" t="str"/>
    </x:row>
    <x:row r="30" ht="36" customHeight="1">
      <x:c r="D30" s="13" t="n">
        <x:v>29</x:v>
      </x:c>
      <x:c r="E30" s="13" t="str">
        <x:v>profile.Career.Current Role</x:v>
      </x:c>
      <x:c r="F30" s="13" t="str">
        <x:v>Profile「Career」中的「Current Role」</x:v>
      </x:c>
      <x:c r="G30" s="13" t="str">
        <x:v>results[].ui_sections.profile.data.sections[title=Career].items[label=Current Role].value</x:v>
      </x:c>
      <x:c r="H30" s="13" t="str">
        <x:v>文本；重复值换行</x:v>
      </x:c>
      <x:c r="I30" s="13" t="str">
        <x:v>文本</x:v>
      </x:c>
      <x:c r="J30" s="14" t="str">
        <x:v>是</x:v>
      </x:c>
      <x:c r="K30" s="14" t="str"/>
      <x:c r="L30" s="14" t="str"/>
    </x:row>
    <x:row r="31" ht="36" customHeight="1">
      <x:c r="D31" s="13" t="n">
        <x:v>30</x:v>
      </x:c>
      <x:c r="E31" s="13" t="str">
        <x:v>social_status</x:v>
      </x:c>
      <x:c r="F31" s="13" t="str">
        <x:v>社交模块状态</x:v>
      </x:c>
      <x:c r="G31" s="13" t="str">
        <x:v>results[].ui_sections.social.status</x:v>
      </x:c>
      <x:c r="H31" s="13" t="str">
        <x:v>枚举文本或空值</x:v>
      </x:c>
      <x:c r="I31" s="13" t="str">
        <x:v>data</x:v>
      </x:c>
      <x:c r="J31" s="14" t="str">
        <x:v>是</x:v>
      </x:c>
      <x:c r="K31" s="14" t="str"/>
      <x:c r="L31" s="14" t="str"/>
    </x:row>
    <x:row r="32" ht="36" customHeight="1">
      <x:c r="D32" s="13" t="n">
        <x:v>31</x:v>
      </x:c>
      <x:c r="E32" s="13" t="str">
        <x:v>social_display_handles</x:v>
      </x:c>
      <x:c r="F32" s="13" t="str">
        <x:v>社交账号展示名</x:v>
      </x:c>
      <x:c r="G32" s="13" t="str">
        <x:v>results[].ui_sections.social.data.profiles[].display_handle</x:v>
      </x:c>
      <x:c r="H32" s="13" t="str">
        <x:v>多行文本；每个账号一行</x:v>
      </x:c>
      <x:c r="I32" s="13" t="str">
        <x:v>first\nsecond</x:v>
      </x:c>
      <x:c r="J32" s="14" t="str">
        <x:v>是</x:v>
      </x:c>
      <x:c r="K32" s="14" t="str"/>
      <x:c r="L32" s="14" t="str"/>
    </x:row>
    <x:row r="33" ht="36" customHeight="1">
      <x:c r="D33" s="13" t="n">
        <x:v>32</x:v>
      </x:c>
      <x:c r="E33" s="13" t="str">
        <x:v>social_platforms</x:v>
      </x:c>
      <x:c r="F33" s="13" t="str">
        <x:v>社交平台</x:v>
      </x:c>
      <x:c r="G33" s="13" t="str">
        <x:v>results[].ui_sections.social.data.profiles[].platform</x:v>
      </x:c>
      <x:c r="H33" s="13" t="str">
        <x:v>多行文本；与账号逐行对应</x:v>
      </x:c>
      <x:c r="I33" s="13" t="str">
        <x:v>linkedin\nx</x:v>
      </x:c>
      <x:c r="J33" s="14" t="str">
        <x:v>是</x:v>
      </x:c>
      <x:c r="K33" s="14" t="str"/>
      <x:c r="L33" s="14" t="str"/>
    </x:row>
    <x:row r="34" ht="36" customHeight="1">
      <x:c r="D34" s="13" t="n">
        <x:v>33</x:v>
      </x:c>
      <x:c r="E34" s="13" t="str">
        <x:v>social_urls</x:v>
      </x:c>
      <x:c r="F34" s="13" t="str">
        <x:v>社交主页地址</x:v>
      </x:c>
      <x:c r="G34" s="13" t="str">
        <x:v>results[].ui_sections.social.data.profiles[].url</x:v>
      </x:c>
      <x:c r="H34" s="13" t="str">
        <x:v>多行 URL；与账号逐行对应</x:v>
      </x:c>
      <x:c r="I34" s="13" t="str">
        <x:v>https://linkedin.com/...</x:v>
      </x:c>
      <x:c r="J34" s="14" t="str">
        <x:v>是</x:v>
      </x:c>
      <x:c r="K34" s="14" t="str"/>
      <x:c r="L34" s="14" t="str"/>
    </x:row>
    <x:row r="35" ht="36" customHeight="1">
      <x:c r="D35" s="13" t="n">
        <x:v>34</x:v>
      </x:c>
      <x:c r="E35" s="13" t="str">
        <x:v>social_profiles</x:v>
      </x:c>
      <x:c r="F35" s="13" t="str">
        <x:v>社交账号完整集合</x:v>
      </x:c>
      <x:c r="G35" s="13" t="str">
        <x:v>results[].ui_sections.social.data.profiles</x:v>
      </x:c>
      <x:c r="H35" s="13" t="str">
        <x:v>JSON 文本；超长转 Raw数据</x:v>
      </x:c>
      <x:c r="I35" s="13" t="str">
        <x:v>[{"platform":"linkedin",...}]</x:v>
      </x:c>
      <x:c r="J35" s="14" t="str">
        <x:v>否</x:v>
      </x:c>
      <x:c r="K35" s="14" t="str"/>
      <x:c r="L35" s="14" t="str"/>
    </x:row>
    <x:row r="36" ht="36" customHeight="1">
      <x:c r="D36" s="13" t="n">
        <x:v>35</x:v>
      </x:c>
      <x:c r="E36" s="13" t="str">
        <x:v>summary_avatar_url</x:v>
      </x:c>
      <x:c r="F36" s="13" t="str">
        <x:v>摘要头像地址</x:v>
      </x:c>
      <x:c r="G36" s="13" t="str">
        <x:v>results[].ui_sections.summary.data.avatar_url</x:v>
      </x:c>
      <x:c r="H36" s="13" t="str">
        <x:v>URL 文本或空值</x:v>
      </x:c>
      <x:c r="I36" s="13" t="str">
        <x:v>https://.../avatar.jpg</x:v>
      </x:c>
      <x:c r="J36" s="14" t="str">
        <x:v>是</x:v>
      </x:c>
      <x:c r="K36" s="14" t="str"/>
      <x:c r="L36" s="14" t="str"/>
    </x:row>
    <x:row r="37" ht="36" customHeight="1">
      <x:c r="D37" s="13" t="n">
        <x:v>36</x:v>
      </x:c>
      <x:c r="E37" s="13" t="str">
        <x:v>summary_confidence_level</x:v>
      </x:c>
      <x:c r="F37" s="13" t="str">
        <x:v>系统置信等级</x:v>
      </x:c>
      <x:c r="G37" s="13" t="str">
        <x:v>results[].ui_sections.summary.data.confidence_level</x:v>
      </x:c>
      <x:c r="H37" s="13" t="str">
        <x:v>枚举文本或空值</x:v>
      </x:c>
      <x:c r="I37" s="13" t="str">
        <x:v>HIGH</x:v>
      </x:c>
      <x:c r="J37" s="14" t="str">
        <x:v>是</x:v>
      </x:c>
      <x:c r="K37" s="14" t="str"/>
      <x:c r="L37" s="14" t="str"/>
    </x:row>
    <x:row r="38" ht="36" customHeight="1">
      <x:c r="D38" s="13" t="n">
        <x:v>37</x:v>
      </x:c>
      <x:c r="E38" s="13" t="str">
        <x:v>summary_primary_image_url</x:v>
      </x:c>
      <x:c r="F38" s="13" t="str">
        <x:v>摘要主图地址</x:v>
      </x:c>
      <x:c r="G38" s="13" t="str">
        <x:v>results[].ui_sections.summary.data.primary_image.url</x:v>
      </x:c>
      <x:c r="H38" s="13" t="str">
        <x:v>URL 文本或空值</x:v>
      </x:c>
      <x:c r="I38" s="13" t="str">
        <x:v>https://.../primary.jpg</x:v>
      </x:c>
      <x:c r="J38" s="14" t="str">
        <x:v>是</x:v>
      </x:c>
      <x:c r="K38" s="14" t="str"/>
      <x:c r="L38" s="14" t="str"/>
    </x:row>
    <x:row r="39" ht="36" customHeight="1">
      <x:c r="D39" s="13" t="n">
        <x:v>38</x:v>
      </x:c>
      <x:c r="E39" s="13" t="str">
        <x:v>summary_social_links</x:v>
      </x:c>
      <x:c r="F39" s="13" t="str">
        <x:v>摘要社交链接</x:v>
      </x:c>
      <x:c r="G39" s="13" t="str">
        <x:v>results[].ui_sections.summary.data.social_links</x:v>
      </x:c>
      <x:c r="H39" s="13" t="str">
        <x:v>多行文本；每条 title：url</x:v>
      </x:c>
      <x:c r="I39" s="13" t="str">
        <x:v>LinkedIn：https://...</x:v>
      </x:c>
      <x:c r="J39" s="14" t="str">
        <x:v>是</x:v>
      </x:c>
      <x:c r="K39" s="14" t="str"/>
      <x:c r="L39" s="14" t="str">
        <x:v>处理成 title：url；多条链接逐条换行；缺少 title 时只保留 url</x:v>
      </x:c>
    </x:row>
    <x:row r="40" ht="36" customHeight="1">
      <x:c r="D40" s="13" t="n">
        <x:v>39</x:v>
      </x:c>
      <x:c r="E40" s="13" t="str">
        <x:v>summary_web_links</x:v>
      </x:c>
      <x:c r="F40" s="13" t="str">
        <x:v>摘要网页链接</x:v>
      </x:c>
      <x:c r="G40" s="13" t="str">
        <x:v>results[].ui_sections.summary.data.web_links</x:v>
      </x:c>
      <x:c r="H40" s="13" t="str">
        <x:v>多行文本；每条 title：url</x:v>
      </x:c>
      <x:c r="I40" s="13" t="str">
        <x:v>Wikipedia：https://...</x:v>
      </x:c>
      <x:c r="J40" s="14" t="str">
        <x:v>是</x:v>
      </x:c>
      <x:c r="K40" s="14" t="str"/>
      <x:c r="L40" s="14" t="str">
        <x:v>处理成 title：url；多条链接逐条换行；缺少 title 时只保留 url</x:v>
      </x:c>
    </x:row>
    <x:row r="41" ht="36" customHeight="1">
      <x:c r="D41" s="13" t="n">
        <x:v>40</x:v>
      </x:c>
      <x:c r="E41" s="13" t="str">
        <x:v>summary_display_name</x:v>
      </x:c>
      <x:c r="F41" s="13" t="str">
        <x:v>摘要展示姓名</x:v>
      </x:c>
      <x:c r="G41" s="13" t="str">
        <x:v>results[].ui_sections.summary.data.display_name</x:v>
      </x:c>
      <x:c r="H41" s="13" t="str">
        <x:v>文本或空值</x:v>
      </x:c>
      <x:c r="I41" s="13" t="str">
        <x:v>Example Person</x:v>
      </x:c>
      <x:c r="J41" s="14" t="str">
        <x:v>否</x:v>
      </x:c>
      <x:c r="K41" s="14" t="str"/>
      <x:c r="L41" s="14" t="str"/>
    </x:row>
    <x:row r="42" ht="36" customHeight="1">
      <x:c r="D42" s="13" t="n">
        <x:v>41</x:v>
      </x:c>
      <x:c r="E42" s="13" t="str">
        <x:v>summary_location</x:v>
      </x:c>
      <x:c r="F42" s="13" t="str">
        <x:v>摘要地点</x:v>
      </x:c>
      <x:c r="G42" s="13" t="str">
        <x:v>results[].ui_sections.summary.data.location</x:v>
      </x:c>
      <x:c r="H42" s="13" t="str">
        <x:v>文本或空值</x:v>
      </x:c>
      <x:c r="I42" s="13" t="str">
        <x:v>Shanghai</x:v>
      </x:c>
      <x:c r="J42" s="14" t="str">
        <x:v>否</x:v>
      </x:c>
      <x:c r="K42" s="14" t="str"/>
      <x:c r="L42" s="14" t="str"/>
    </x:row>
    <x:row r="43" ht="36" customHeight="1">
      <x:c r="D43" s="13" t="n">
        <x:v>42</x:v>
      </x:c>
      <x:c r="E43" s="13" t="str">
        <x:v>summary_match_score</x:v>
      </x:c>
      <x:c r="F43" s="13" t="str">
        <x:v>摘要匹配分数</x:v>
      </x:c>
      <x:c r="G43" s="13" t="str">
        <x:v>results[].ui_sections.summary.data.match_score</x:v>
      </x:c>
      <x:c r="H43" s="13" t="str">
        <x:v>数值或空值</x:v>
      </x:c>
      <x:c r="I43" s="13" t="str">
        <x:v>95</x:v>
      </x:c>
      <x:c r="J43" s="14" t="str">
        <x:v>否</x:v>
      </x:c>
      <x:c r="K43" s="14" t="str"/>
      <x:c r="L43" s="14" t="str"/>
    </x:row>
    <x:row r="44" ht="36" customHeight="1">
      <x:c r="D44" s="13" t="n">
        <x:v>43</x:v>
      </x:c>
      <x:c r="E44" s="13" t="str">
        <x:v>summary_is_top_result</x:v>
      </x:c>
      <x:c r="F44" s="13" t="str">
        <x:v>是否标记为首位结果</x:v>
      </x:c>
      <x:c r="G44" s="13" t="str">
        <x:v>results[].ui_sections.summary.data.is_top_result</x:v>
      </x:c>
      <x:c r="H44" s="13" t="str">
        <x:v>布尔值或空值</x:v>
      </x:c>
      <x:c r="I44" s="13" t="str">
        <x:v>TRUE</x:v>
      </x:c>
      <x:c r="J44" s="14" t="str">
        <x:v>否</x:v>
      </x:c>
      <x:c r="K44" s="14" t="str"/>
      <x:c r="L44" s="14" t="str"/>
    </x:row>
    <x:row r="45" ht="36" customHeight="1">
      <x:c r="D45" s="13" t="n">
        <x:v>44</x:v>
      </x:c>
      <x:c r="E45" s="13" t="str">
        <x:v>summary_is_best_match</x:v>
      </x:c>
      <x:c r="F45" s="13" t="str">
        <x:v>是否标记为最佳匹配</x:v>
      </x:c>
      <x:c r="G45" s="13" t="str">
        <x:v>results[].ui_sections.summary.data.is_best_match</x:v>
      </x:c>
      <x:c r="H45" s="13" t="str">
        <x:v>布尔值或空值</x:v>
      </x:c>
      <x:c r="I45" s="13" t="str">
        <x:v>TRUE</x:v>
      </x:c>
      <x:c r="J45" s="14" t="str">
        <x:v>否</x:v>
      </x:c>
      <x:c r="K45" s="14" t="str"/>
      <x:c r="L45" s="14" t="str"/>
    </x:row>
    <x:row r="46" ht="36" customHeight="1">
      <x:c r="D46" s="13" t="n">
        <x:v>45</x:v>
      </x:c>
      <x:c r="E46" s="13" t="str">
        <x:v>identity_judgement</x:v>
      </x:c>
      <x:c r="F46" s="13" t="str">
        <x:v>人工身份判断</x:v>
      </x:c>
      <x:c r="G46" s="13" t="str">
        <x:v>人工直接填写 Excel</x:v>
      </x:c>
      <x:c r="H46" s="13" t="str">
        <x:v>枚举：correct / wrong / unverifiable</x:v>
      </x:c>
      <x:c r="I46" s="13" t="str">
        <x:v>correct</x:v>
      </x:c>
      <x:c r="J46" s="14" t="str">
        <x:v>否</x:v>
      </x:c>
      <x:c r="K46" s="14" t="str"/>
      <x:c r="L46" s="14" t="str"/>
    </x:row>
    <x:row r="47" ht="36" customHeight="1">
      <x:c r="D47" s="13" t="n">
        <x:v>46</x:v>
      </x:c>
      <x:c r="E47" s="13" t="str">
        <x:v>identity_evidence</x:v>
      </x:c>
      <x:c r="F47" s="13" t="str">
        <x:v>人工身份判断依据</x:v>
      </x:c>
      <x:c r="G47" s="13" t="str">
        <x:v>人工直接填写 Excel</x:v>
      </x:c>
      <x:c r="H47" s="13" t="str">
        <x:v>文本</x:v>
      </x:c>
      <x:c r="I47" s="13" t="str">
        <x:v>姓名与任职经历一致</x:v>
      </x:c>
      <x:c r="J47" s="14" t="str">
        <x:v>否</x:v>
      </x:c>
      <x:c r="K47" s="14" t="str"/>
      <x:c r="L47" s="14" t="str"/>
    </x:row>
    <x:row r="48" ht="36" customHeight="1">
      <x:c r="D48" s="13" t="n">
        <x:v>47</x:v>
      </x:c>
      <x:c r="E48" s="13" t="str">
        <x:v>field_review_status</x:v>
      </x:c>
      <x:c r="F48" s="13" t="str">
        <x:v>人工字段质量判断</x:v>
      </x:c>
      <x:c r="G48" s="13" t="str">
        <x:v>人工直接填写 Excel</x:v>
      </x:c>
      <x:c r="H48" s="13" t="str">
        <x:v>枚举：correct / partial / wrong / unverifiable / not_returned / not_applicable</x:v>
      </x:c>
      <x:c r="I48" s="13" t="str">
        <x:v>partial</x:v>
      </x:c>
      <x:c r="J48" s="14" t="str">
        <x:v>否</x:v>
      </x:c>
      <x:c r="K48" s="14" t="str"/>
      <x:c r="L48" s="14" t="str"/>
    </x:row>
    <x:row r="49" ht="36" customHeight="1">
      <x:c r="D49" s="13" t="n">
        <x:v>48</x:v>
      </x:c>
      <x:c r="E49" s="13" t="str">
        <x:v>failure_type</x:v>
      </x:c>
      <x:c r="F49" s="13" t="str">
        <x:v>人工归类的失败类型</x:v>
      </x:c>
      <x:c r="G49" s="13" t="str">
        <x:v>人工直接填写 Excel</x:v>
      </x:c>
      <x:c r="H49" s="13" t="str">
        <x:v>文本</x:v>
      </x:c>
      <x:c r="I49" s="13" t="str">
        <x:v>wrong_person</x:v>
      </x:c>
      <x:c r="J49" s="14" t="str">
        <x:v>否</x:v>
      </x:c>
      <x:c r="K49" s="14" t="str"/>
      <x:c r="L49" s="14" t="str"/>
    </x:row>
    <x:row r="50" ht="36" customHeight="1">
      <x:c r="D50" s="13" t="n">
        <x:v>49</x:v>
      </x:c>
      <x:c r="E50" s="13" t="str">
        <x:v>reviewer</x:v>
      </x:c>
      <x:c r="F50" s="13" t="str">
        <x:v>复核人</x:v>
      </x:c>
      <x:c r="G50" s="13" t="str">
        <x:v>人工直接填写 Excel</x:v>
      </x:c>
      <x:c r="H50" s="13" t="str">
        <x:v>文本</x:v>
      </x:c>
      <x:c r="I50" s="13" t="str">
        <x:v>张三</x:v>
      </x:c>
      <x:c r="J50" s="14" t="str">
        <x:v>否</x:v>
      </x:c>
      <x:c r="K50" s="14" t="str"/>
      <x:c r="L50" s="14" t="str"/>
    </x:row>
    <x:row r="51" ht="36" customHeight="1">
      <x:c r="D51" s="13" t="n">
        <x:v>50</x:v>
      </x:c>
      <x:c r="E51" s="13" t="str">
        <x:v>review_comment</x:v>
      </x:c>
      <x:c r="F51" s="13" t="str">
        <x:v>复核备注</x:v>
      </x:c>
      <x:c r="G51" s="13" t="str">
        <x:v>人工直接填写 Excel</x:v>
      </x:c>
      <x:c r="H51" s="13" t="str">
        <x:v>文本</x:v>
      </x:c>
      <x:c r="I51" s="13" t="str">
        <x:v>需补充证据</x:v>
      </x:c>
      <x:c r="J51" s="14" t="str">
        <x:v>否</x:v>
      </x:c>
      <x:c r="K51" s="14" t="str"/>
      <x:c r="L51" s="14" t="str"/>
    </x:row>
  </x:sheetData>
  <x:dataValidations count="1">
    <x:dataValidation type="list" sqref="J2:J51">
      <x:formula1>"是,否,待定"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44bf65dc8f34dd9"/>
    <x:tablePart xmlns:r="http://schemas.openxmlformats.org/officeDocument/2006/relationships" r:id="Refeaa83de51c4090"/>
  </x:tableParts>
</x:worksheet>
</file>
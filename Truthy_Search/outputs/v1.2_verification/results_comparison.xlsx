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00"/>
  </bookViews>
  <sheets>
    <sheet name="候选结果" sheetId="1" r:id="rId1"/>
    <sheet name="Query对比" sheetId="2" r:id="rId2"/>
    <sheet name="失败记录" sheetId="3" r:id="rId3"/>
    <sheet name="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<sst xmlns="http://schemas.openxmlformats.org/spreadsheetml/2006/main" count="754" uniqueCount="354">
  <si>
    <t>evaluation_id</t>
  </si>
  <si>
    <t>run_label</t>
  </si>
  <si>
    <t>query_id</t>
  </si>
  <si>
    <t>person_id</t>
  </si>
  <si>
    <t>query_type</t>
  </si>
  <si>
    <t>task_id</t>
  </si>
  <si>
    <t>candidate_id</t>
  </si>
  <si>
    <t>candidate_count_total</t>
  </si>
  <si>
    <t>candidate_rank</t>
  </si>
  <si>
    <t>rank_score</t>
  </si>
  <si>
    <t>insights_status</t>
  </si>
  <si>
    <t>insights_description</t>
  </si>
  <si>
    <t>insights_links</t>
  </si>
  <si>
    <t>photos_status</t>
  </si>
  <si>
    <t>photos_baseline_photo_url</t>
  </si>
  <si>
    <t>photos_identity_match_rate</t>
  </si>
  <si>
    <t>photos_authenticity_photos</t>
  </si>
  <si>
    <t>photos_match_photos</t>
  </si>
  <si>
    <t>profile_status</t>
  </si>
  <si>
    <t>profile.Identity.Full Name</t>
  </si>
  <si>
    <t>profile.Identity.Age</t>
  </si>
  <si>
    <t>profile.Identity.Location</t>
  </si>
  <si>
    <t>profile.Identity.Email</t>
  </si>
  <si>
    <t>profile.Identity.Profile URL</t>
  </si>
  <si>
    <t>profile.Career.Current Role</t>
  </si>
  <si>
    <t>profile.Background.Education</t>
  </si>
  <si>
    <t>profile.Career.Other Roles</t>
  </si>
  <si>
    <t>social_status</t>
  </si>
  <si>
    <t>social_display_handles</t>
  </si>
  <si>
    <t>social_platforms</t>
  </si>
  <si>
    <t>social_urls</t>
  </si>
  <si>
    <t>summary_avatar_url</t>
  </si>
  <si>
    <t>summary_confidence_level</t>
  </si>
  <si>
    <t>summary_primary_image_url</t>
  </si>
  <si>
    <t>summary_social_links</t>
  </si>
  <si>
    <t>summary_web_links</t>
  </si>
  <si>
    <t>v1.2_verification</t>
  </si>
  <si>
    <t>candidate</t>
  </si>
  <si>
    <t>case-001</t>
  </si>
  <si>
    <t/>
  </si>
  <si>
    <t>task_775dd16e5c17c9bae0a00732</t>
  </si>
  <si>
    <t>report_0d476f15e762d3e8047592a0_candidate_1</t>
  </si>
  <si>
    <t>data</t>
  </si>
  <si>
    <t>Marriage date: 2020-02.
Related people: Spouse: MIRA CCQQ MOCK; Mother: NORA CCQQ MOCK.</t>
  </si>
  <si>
    <t>Public source：https://records.example.com/court/jojo-CCQQ-mock/Piplmarriage-records
Public source：https://records.example.com/court/jojo-CCQQ-mock/Piplrelationships-records</t>
  </si>
  <si>
    <t>empty</t>
  </si>
  <si>
    <t>[]</t>
  </si>
  <si>
    <t>JOJO CCQQ MOCK</t>
  </si>
  <si>
    <t>38</t>
  </si>
  <si>
    <t>San Francisco, California, United States</t>
  </si>
  <si>
    <t>jojoCCQQmock1@example.com</t>
  </si>
  <si>
    <t>https://www.linkedin.com/in/jojo-CCQQ-mock-1</t>
  </si>
  <si>
    <t>Founder at CCQQ Mock Labs</t>
  </si>
  <si>
    <t>Stanford University Bachelor of Science</t>
  </si>
  <si>
    <t>jojo-CCQQ-mock-1
jojo.CCQQ.mock.1
jojoCCQQmock1
jojo.CCQQ.mock.1
@jojoCCQQmock1
@jojoCCQQmock1</t>
  </si>
  <si>
    <t>linkedin
facebook
x
instagram
tiktok
youtube</t>
  </si>
  <si>
    <t>https://www.linkedin.com/in/jojo-CCQQ-mock-1
https://www.facebook.com/jojo.CCQQ.mock.1
https://x.com/jojoCCQQmock1
https://www.instagram.com/jojo.CCQQ.mock.1
https://www.tiktok.com/@jojoCCQQmock1
https://www.youtube.com/@jojoCCQQmock1</t>
  </si>
  <si>
    <t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t>
  </si>
  <si>
    <t>LOW</t>
  </si>
  <si>
    <t>LinkedIn：https://www.linkedin.com/in/jojo-CCQQ-mock-1
Facebook：https://www.facebook.com/jojo.CCQQ.mock.1
X：https://x.com/jojoCCQQmock1
Instagram：https://www.instagram.com/jojo.CCQQ.mock.1
TikTok：https://www.tiktok.com/@jojoCCQQmock1
YouTube：https://www.youtube.com/@jojoCCQQmock1
Snapchat：https://www.snapchat.com/add/jojoCCQQmock1
Twitch：https://www.twitch.tv/jojoCCQQmock1
Telegram：https://t.me/jojoCCQQmock1
Mastodon：https://mastodon.social/@jojo_CCQQ_mock_1
Bluesky：https://bsky.app/profile/jojo-CCQQ-mock-1.bsky.social
Tinder：https://tinder.com/@jojoCCQQmock1
Hinge：https://hinge.co/profile/jojoCCQQmock1</t>
  </si>
  <si>
    <t>Wikipedia：https://en.wikipedia.org/wiki/Jojo_CCQQ_Mock_1
Default：https://www.jojoCCQQmock1.example
Default：https://records.example.com/court/jojo-CCQQ-mock/Piplmarriage-records
Default：https://records.example.com/court/jojo-CCQQ-mock/Piplrelationships-records
Default：https://records.example.com/court/jojo-CCQQ-mock/Piplcourt-records
Default：https://records.example.com/court/jojo-CCQQ-mock/case-001
Default：https://records.example.com/court/jojo-CCQQ-mock/Piplprofessional-licenses-records
Default：https://licenses.example.com/professional/jojo-CCQQ-mock/license-1
Default：https://records.example.com/court/jojo-CCQQ-mock/Piplus-properties-records
Default：https://records.example.com/court/jojo-CCQQ-mock/Piplvehicles-records
Default：https://www.jojoCCQQmock1.com
Default：https://records.example.com/court/jojo-CCQQ-mock/Piplassociates-records</t>
  </si>
  <si>
    <t>report_0d476f15e762d3e8047592a0_candidate_2</t>
  </si>
  <si>
    <t>37</t>
  </si>
  <si>
    <t>New York, New York, United States</t>
  </si>
  <si>
    <t>jojoCCQQmock2@example.com</t>
  </si>
  <si>
    <t>https://www.linkedin.com/in/jojo-CCQQ-mock-2</t>
  </si>
  <si>
    <t>Product Designer at CCQQ Design Systems</t>
  </si>
  <si>
    <t>Rhode Island School of Design Master of Fine Arts</t>
  </si>
  <si>
    <t>jojo-CCQQ-mock-2
jojo.CCQQ.mock.2
jojoCCQQmock2
jojo.CCQQ.mock.2
@jojoCCQQmock2
@jojoCCQQmock2</t>
  </si>
  <si>
    <t>https://www.linkedin.com/in/jojo-CCQQ-mock-2
https://www.facebook.com/jojo.CCQQ.mock.2
https://x.com/jojoCCQQmock2
https://www.instagram.com/jojo.CCQQ.mock.2
https://www.tiktok.com/@jojoCCQQmock2
https://www.youtube.com/@jojoCCQQmock2</t>
  </si>
  <si>
    <t>LinkedIn：https://www.linkedin.com/in/jojo-CCQQ-mock-2
Facebook：https://www.facebook.com/jojo.CCQQ.mock.2
X：https://x.com/jojoCCQQmock2
Instagram：https://www.instagram.com/jojo.CCQQ.mock.2
TikTok：https://www.tiktok.com/@jojoCCQQmock2
YouTube：https://www.youtube.com/@jojoCCQQmock2
Snapchat：https://www.snapchat.com/add/jojoCCQQmock2
Twitch：https://www.twitch.tv/jojoCCQQmock2
Telegram：https://t.me/jojoCCQQmock2
Mastodon：https://mastodon.social/@jojo_CCQQ_mock_2
Bluesky：https://bsky.app/profile/jojo-CCQQ-mock-2.bsky.social
Tinder：https://tinder.com/@jojoCCQQmock2
Hinge：https://hinge.co/profile/jojoCCQQmock2</t>
  </si>
  <si>
    <t>Wikipedia：https://en.wikipedia.org/wiki/Jojo_CCQQ_Mock_2
Default：https://www.jojoCCQQmock2.example
Default：https://records.example.com/court/jojo-CCQQ-mock/case-002
Default：https://licenses.example.com/professional/jojo-CCQQ-mock/license-2
Default：https://www.jojoCCQQmock2.com</t>
  </si>
  <si>
    <t>report_0d476f15e762d3e8047592a0_candidate_3</t>
  </si>
  <si>
    <t>Related people: Spouse: MIRA CCQQ MOCK; Mother: NORA CCQQ MOCK.</t>
  </si>
  <si>
    <t>36</t>
  </si>
  <si>
    <t>Austin, Texas, United States</t>
  </si>
  <si>
    <t>jojoCCQQmock3@example.com</t>
  </si>
  <si>
    <t>https://www.linkedin.com/in/jojo-CCQQ-mock-3</t>
  </si>
  <si>
    <t>Growth Lead at CCQQ Growth Studio</t>
  </si>
  <si>
    <t>New York University Master of Business Administration</t>
  </si>
  <si>
    <t>jojo-CCQQ-mock-3
jojo.CCQQ.mock.3
jojoCCQQmock3
jojo.CCQQ.mock.3
@jojoCCQQmock3</t>
  </si>
  <si>
    <t>linkedin
facebook
x
instagram
youtube</t>
  </si>
  <si>
    <t>https://www.linkedin.com/in/jojo-CCQQ-mock-3
https://www.facebook.com/jojo.CCQQ.mock.3
https://x.com/jojoCCQQmock3
https://www.instagram.com/jojo.CCQQ.mock.3
https://www.youtube.com/@jojoCCQQmock3</t>
  </si>
  <si>
    <t>LinkedIn：https://www.linkedin.com/in/jojo-CCQQ-mock-3
Facebook：https://www.facebook.com/jojo.CCQQ.mock.3
X：https://x.com/jojoCCQQmock3
Instagram：https://www.instagram.com/jojo.CCQQ.mock.3
YouTube：https://www.youtube.com/@jojoCCQQmock3</t>
  </si>
  <si>
    <t>Wikipedia：https://en.wikipedia.org/wiki/Jojo_CCQQ_Mock_3
Default：https://www.jojoCCQQmock3.example</t>
  </si>
  <si>
    <t>report_0d476f15e762d3e8047592a0_candidate_4</t>
  </si>
  <si>
    <t>35</t>
  </si>
  <si>
    <t>Seattle, Washington, United States</t>
  </si>
  <si>
    <t>jojoCCQQmock4@example.com</t>
  </si>
  <si>
    <t>https://www.linkedin.com/in/jojo-CCQQ-mock-4</t>
  </si>
  <si>
    <t>Advisor at CCQQ Advisory</t>
  </si>
  <si>
    <t>University of Washington Bachelor of Arts</t>
  </si>
  <si>
    <t>jojo-CCQQ-mock-4
jojoCCQQmock4</t>
  </si>
  <si>
    <t>linkedin
x</t>
  </si>
  <si>
    <t>https://www.linkedin.com/in/jojo-CCQQ-mock-4
https://x.com/jojoCCQQmock4</t>
  </si>
  <si>
    <t>LinkedIn：https://www.linkedin.com/in/jojo-CCQQ-mock-4
X：https://x.com/jojoCCQQmock4</t>
  </si>
  <si>
    <t>Wikipedia：https://en.wikipedia.org/wiki/Jojo_CCQQ_Mock_4</t>
  </si>
  <si>
    <t>report_0d476f15e762d3e8047592a0_candidate_5</t>
  </si>
  <si>
    <t>Los Angeles, California, United States</t>
  </si>
  <si>
    <t>https://www.linkedin.com/in/jojo-CCQQ-mock-5</t>
  </si>
  <si>
    <t>Software Engineer at CCQQ Engineering</t>
  </si>
  <si>
    <t>Carnegie Mellon University Master of Science</t>
  </si>
  <si>
    <t>jojo-CCQQ-mock-5</t>
  </si>
  <si>
    <t>linkedin</t>
  </si>
  <si>
    <t>LinkedIn：https://www.linkedin.com/in/jojo-CCQQ-mock-5</t>
  </si>
  <si>
    <t>Wikipedia：https://en.wikipedia.org/wiki/Jojo_CCQQ_Mock_5</t>
  </si>
  <si>
    <t>case-002</t>
  </si>
  <si>
    <t>task_c6a1549ff4910f96b57523fc</t>
  </si>
  <si>
    <t>public_figure:Q26876</t>
  </si>
  <si>
    <t>American singer-songwriter (born 1989)</t>
  </si>
  <si>
    <t>Public source：https://en.wikipedia.org/wiki/Taylor_Swift
Public source：https://www.wikidata.org/wiki/Q26876
Public source：https://taylorswift.com</t>
  </si>
  <si>
    <t>Taylor Swift</t>
  </si>
  <si>
    <t>United States</t>
  </si>
  <si>
    <t>https://en.wikipedia.org/wiki/Taylor_Swift</t>
  </si>
  <si>
    <t>singer-songwriter</t>
  </si>
  <si>
    <t>Hendersonville High School</t>
  </si>
  <si>
    <t>singer; lyricist</t>
  </si>
  <si>
    <t>taylorswift
TaylorSwift
taylorswift13</t>
  </si>
  <si>
    <t>instagram
facebook
x</t>
  </si>
  <si>
    <t>https://www.instagram.com/taylorswift
https://www.facebook.com/TaylorSwift
https://x.com/taylorswift13</t>
  </si>
  <si>
    <t>https://upload.wikimedia.org/wikipedia/commons/thumb/b/b1/Taylor_Swift_at_the_2023_MTV_Video_Music_Awards_%283%29.png/330px-Taylor_Swift_at_the_2023_MTV_Video_Music_Awards_%283%29.png</t>
  </si>
  <si>
    <t>HIGH</t>
  </si>
  <si>
    <t>Instagram：https://www.instagram.com/taylorswift
Facebook：https://www.facebook.com/TaylorSwift
X：https://x.com/taylorswift13</t>
  </si>
  <si>
    <t>Wikipedia：https://en.wikipedia.org/wiki/Taylor_Swift
Default：https://taylorswift.com
Wikipedia：https://www.wikidata.org/wiki/Q26876</t>
  </si>
  <si>
    <t>person_group</t>
  </si>
  <si>
    <t>difficulty</t>
  </si>
  <si>
    <t>tags</t>
  </si>
  <si>
    <t>current_status</t>
  </si>
  <si>
    <t>current_candidate_count</t>
  </si>
  <si>
    <t>current_failure_stage</t>
  </si>
  <si>
    <t>current_target_rank</t>
  </si>
  <si>
    <t>current_hit1</t>
  </si>
  <si>
    <t>current_hit3</t>
  </si>
  <si>
    <t>current_hit5</t>
  </si>
  <si>
    <t>current_mrr5</t>
  </si>
  <si>
    <t>primary_failure_type</t>
  </si>
  <si>
    <t>review_comment</t>
  </si>
  <si>
    <t>SUCCESS</t>
  </si>
  <si>
    <t>system_version</t>
  </si>
  <si>
    <t>stage</t>
  </si>
  <si>
    <t>error</t>
  </si>
  <si>
    <t>failure_type</t>
  </si>
  <si>
    <t>source_file</t>
  </si>
  <si>
    <t>source_line</t>
  </si>
  <si>
    <t>item</t>
  </si>
  <si>
    <t>value</t>
  </si>
  <si>
    <t>序号</t>
  </si>
  <si>
    <t>当前表头</t>
  </si>
  <si>
    <t>中文含义</t>
  </si>
  <si>
    <t>来源路径/生成规则</t>
  </si>
  <si>
    <t>内容格式</t>
  </si>
  <si>
    <t>示例格式</t>
  </si>
  <si>
    <t>是否保留</t>
  </si>
  <si>
    <t>新表头</t>
  </si>
  <si>
    <t>处理规则/备注</t>
  </si>
  <si>
    <t>本次评测批次标识</t>
  </si>
  <si>
    <t>导出参数 --evaluation-id</t>
  </si>
  <si>
    <t>文本</t>
  </si>
  <si>
    <t>eval-20260722</t>
  </si>
  <si>
    <t>是</t>
  </si>
  <si>
    <t>运行模式</t>
  </si>
  <si>
    <t>single</t>
  </si>
  <si>
    <t>本行所属运行标签</t>
  </si>
  <si>
    <t>导出参数 --run-label</t>
  </si>
  <si>
    <t>current / baseline / candidate</t>
  </si>
  <si>
    <t>基准 Run 使用 baseline；接口检索返回结果使用 candidate（单 Run 传 --run-label candidate）</t>
  </si>
  <si>
    <t>生成时间</t>
  </si>
  <si>
    <t>UTC 2026-07-22T03:56:47.129Z</t>
  </si>
  <si>
    <t>被测系统版本</t>
  </si>
  <si>
    <t>导出参数 --system-version</t>
  </si>
  <si>
    <t>v1.2</t>
  </si>
  <si>
    <t>否</t>
  </si>
  <si>
    <t>Run</t>
  </si>
  <si>
    <t>candidate | v1.2 | /Users/admin/Testproject/Truthy_Search/output/results.jsonl</t>
  </si>
  <si>
    <t>查询唯一标识</t>
  </si>
  <si>
    <t>results.jsonl.input_id</t>
  </si>
  <si>
    <t>query-001</t>
  </si>
  <si>
    <t>Query 元数据</t>
  </si>
  <si>
    <t>未提供</t>
  </si>
  <si>
    <t>被检索人物标识</t>
  </si>
  <si>
    <t>Query 元数据.person_id</t>
  </si>
  <si>
    <t>文本或空值</t>
  </si>
  <si>
    <t>person-001</t>
  </si>
  <si>
    <t>候选人数</t>
  </si>
  <si>
    <t>查询类型</t>
  </si>
  <si>
    <t>Query 元数据.query_type</t>
  </si>
  <si>
    <t>Q1</t>
  </si>
  <si>
    <t>Query 数</t>
  </si>
  <si>
    <t>人物分组</t>
  </si>
  <si>
    <t>Query 元数据.person_group</t>
  </si>
  <si>
    <t>C</t>
  </si>
  <si>
    <t>失败/输入异常数</t>
  </si>
  <si>
    <t>查询难度</t>
  </si>
  <si>
    <t>Query 元数据.difficulty</t>
  </si>
  <si>
    <t>medium</t>
  </si>
  <si>
    <t>Raw 引用数据块数</t>
  </si>
  <si>
    <t>查询标签</t>
  </si>
  <si>
    <t>Query 元数据.tags</t>
  </si>
  <si>
    <t>多行文本；每个标签一行</t>
  </si>
  <si>
    <t>common_name\nfew_clues</t>
  </si>
  <si>
    <t>评测口径</t>
  </si>
  <si>
    <t>当前只处理 Top 5；系统 confidence 不等于人工身份结论</t>
  </si>
  <si>
    <t>搜索任务标识</t>
  </si>
  <si>
    <t>results.jsonl.task_id</t>
  </si>
  <si>
    <t>task-001</t>
  </si>
  <si>
    <t>Profile 规则</t>
  </si>
  <si>
    <t>baseline/candidate 字段并集；列名为 profile.&lt;section&gt;.&lt;label&gt;</t>
  </si>
  <si>
    <t>候选人唯一标识</t>
  </si>
  <si>
    <t>results[].candidate_id</t>
  </si>
  <si>
    <t>candidate-001</t>
  </si>
  <si>
    <t>该列移到 task_id 右侧</t>
  </si>
  <si>
    <t>人工复核</t>
  </si>
  <si>
    <t>黄色单元格为人工填写区域；先确认身份，再评价字段</t>
  </si>
  <si>
    <t>本次查询返回的候选人总数</t>
  </si>
  <si>
    <t>results.jsonl.candidate_count_total（GetTask.data.candidate_count）</t>
  </si>
  <si>
    <t>整数或空值</t>
  </si>
  <si>
    <t>8</t>
  </si>
  <si>
    <t>候选人在本次查询中的名次</t>
  </si>
  <si>
    <t>results[].candidate_rank；旧数据缺失时按数组顺序生成</t>
  </si>
  <si>
    <t>正整数，当前通常为 1–5</t>
  </si>
  <si>
    <t>1</t>
  </si>
  <si>
    <t>候选人的接口排序分数</t>
  </si>
  <si>
    <t>results[].rank_score（ListTaskCandidates item）</t>
  </si>
  <si>
    <t>数值或空值</t>
  </si>
  <si>
    <t>0.91</t>
  </si>
  <si>
    <t>洞察模块状态</t>
  </si>
  <si>
    <t>results[].ui_sections.insights.status</t>
  </si>
  <si>
    <t>枚举文本或空值</t>
  </si>
  <si>
    <t>第一条洞察描述</t>
  </si>
  <si>
    <t>results[].ui_sections.insights.data.items[0].description</t>
  </si>
  <si>
    <t>Known public profile</t>
  </si>
  <si>
    <t>第一条洞察的证据链接</t>
  </si>
  <si>
    <t>results[].ui_sections.insights.data.items[0].links</t>
  </si>
  <si>
    <t>多行文本；每条 title：url</t>
  </si>
  <si>
    <t>Public source：https://...</t>
  </si>
  <si>
    <t>处理成 title：url；多条链接逐条换行；缺少 title 时只保留 url</t>
  </si>
  <si>
    <t>insights_data</t>
  </si>
  <si>
    <t>洞察模块完整 data</t>
  </si>
  <si>
    <t>results[].ui_sections.insights.data</t>
  </si>
  <si>
    <t>JSON 文本；超长转 Raw数据</t>
  </si>
  <si>
    <t>{"count":1,...}</t>
  </si>
  <si>
    <t>照片模块状态</t>
  </si>
  <si>
    <t>results[].ui_sections.photos.status</t>
  </si>
  <si>
    <t>基准照片地址</t>
  </si>
  <si>
    <t>results[].ui_sections.photos.data.baseline_photo_url</t>
  </si>
  <si>
    <t>URL 文本或空值</t>
  </si>
  <si>
    <t>https://.../base.jpg</t>
  </si>
  <si>
    <t>照片身份匹配率</t>
  </si>
  <si>
    <t>results[].ui_sections.photos.data.identity_match_rate</t>
  </si>
  <si>
    <t>0.75</t>
  </si>
  <si>
    <t>真实性照片集合</t>
  </si>
  <si>
    <t>results[].ui_sections.photos.data.authenticity_photos</t>
  </si>
  <si>
    <t>JSON 文本或空值</t>
  </si>
  <si>
    <t>[{"url":"https://..."}]</t>
  </si>
  <si>
    <t>匹配照片集合</t>
  </si>
  <si>
    <t>results[].ui_sections.photos.data.match_photos</t>
  </si>
  <si>
    <t>photos_data</t>
  </si>
  <si>
    <t>照片模块完整 data</t>
  </si>
  <si>
    <t>results[].ui_sections.photos.data</t>
  </si>
  <si>
    <t>{"baseline_photo_url":...}</t>
  </si>
  <si>
    <t>档案模块状态</t>
  </si>
  <si>
    <t>results[].ui_sections.profile.status</t>
  </si>
  <si>
    <t>profile_data</t>
  </si>
  <si>
    <t>档案模块完整 data</t>
  </si>
  <si>
    <t>results[].ui_sections.profile.data</t>
  </si>
  <si>
    <t>{"sections":[...]}</t>
  </si>
  <si>
    <t>Profile「Identity」中的「Full Name」</t>
  </si>
  <si>
    <t>results[].ui_sections.profile.data.sections[title=Identity].items[label=Full Name].value</t>
  </si>
  <si>
    <t>文本；重复值换行</t>
  </si>
  <si>
    <t>Profile「Identity」中的「Age」</t>
  </si>
  <si>
    <t>results[].ui_sections.profile.data.sections[title=Identity].items[label=Age].value</t>
  </si>
  <si>
    <t>Profile「Identity」中的「Location」</t>
  </si>
  <si>
    <t>results[].ui_sections.profile.data.sections[title=Identity].items[label=Location].value</t>
  </si>
  <si>
    <t>Profile「Identity」中的「Email」</t>
  </si>
  <si>
    <t>results[].ui_sections.profile.data.sections[title=Identity].items[label=Email].value</t>
  </si>
  <si>
    <t>Profile「Identity」中的「Profile URL」</t>
  </si>
  <si>
    <t>results[].ui_sections.profile.data.sections[title=Identity].items[label=Profile URL].value</t>
  </si>
  <si>
    <t>Profile「Career」中的「Current Role」</t>
  </si>
  <si>
    <t>results[].ui_sections.profile.data.sections[title=Career].items[label=Current Role].value</t>
  </si>
  <si>
    <t>Profile「Background」中的「Education」</t>
  </si>
  <si>
    <t>results[].ui_sections.profile.data.sections[title=Background].items[label=Education].value</t>
  </si>
  <si>
    <t>Profile「Career」中的「Other Roles」</t>
  </si>
  <si>
    <t>results[].ui_sections.profile.data.sections[title=Career].items[label=Other Roles].value</t>
  </si>
  <si>
    <t>社交模块状态</t>
  </si>
  <si>
    <t>results[].ui_sections.social.status</t>
  </si>
  <si>
    <t>社交账号展示名</t>
  </si>
  <si>
    <t>results[].ui_sections.social.data.profiles[].display_handle</t>
  </si>
  <si>
    <t>多行文本；每个账号一行</t>
  </si>
  <si>
    <t>first\nsecond</t>
  </si>
  <si>
    <t>社交平台</t>
  </si>
  <si>
    <t>results[].ui_sections.social.data.profiles[].platform</t>
  </si>
  <si>
    <t>多行文本；与账号逐行对应</t>
  </si>
  <si>
    <t>linkedin\nx</t>
  </si>
  <si>
    <t>社交主页地址</t>
  </si>
  <si>
    <t>results[].ui_sections.social.data.profiles[].url</t>
  </si>
  <si>
    <t>多行 URL；与账号逐行对应</t>
  </si>
  <si>
    <t>https://linkedin.com/...</t>
  </si>
  <si>
    <t>social_profiles</t>
  </si>
  <si>
    <t>社交账号完整集合</t>
  </si>
  <si>
    <t>results[].ui_sections.social.data.profiles</t>
  </si>
  <si>
    <t>[{"platform":"linkedin",...}]</t>
  </si>
  <si>
    <t>摘要头像地址</t>
  </si>
  <si>
    <t>results[].ui_sections.summary.data.avatar_url</t>
  </si>
  <si>
    <t>https://.../avatar.jpg</t>
  </si>
  <si>
    <t>系统置信等级</t>
  </si>
  <si>
    <t>results[].ui_sections.summary.data.confidence_level</t>
  </si>
  <si>
    <t>摘要主图地址</t>
  </si>
  <si>
    <t>results[].ui_sections.summary.data.primary_image.url</t>
  </si>
  <si>
    <t>https://.../primary.jpg</t>
  </si>
  <si>
    <t>摘要社交链接</t>
  </si>
  <si>
    <t>results[].ui_sections.summary.data.social_links</t>
  </si>
  <si>
    <t>LinkedIn：https://...</t>
  </si>
  <si>
    <t>摘要网页链接</t>
  </si>
  <si>
    <t>results[].ui_sections.summary.data.web_links</t>
  </si>
  <si>
    <t>Wikipedia：https://...</t>
  </si>
  <si>
    <t>summary_display_name</t>
  </si>
  <si>
    <t>摘要展示姓名</t>
  </si>
  <si>
    <t>results[].ui_sections.summary.data.display_name</t>
  </si>
  <si>
    <t>Example Person</t>
  </si>
  <si>
    <t>summary_location</t>
  </si>
  <si>
    <t>摘要地点</t>
  </si>
  <si>
    <t>results[].ui_sections.summary.data.location</t>
  </si>
  <si>
    <t>Shanghai</t>
  </si>
  <si>
    <t>summary_match_score</t>
  </si>
  <si>
    <t>摘要匹配分数</t>
  </si>
  <si>
    <t>results[].ui_sections.summary.data.match_score</t>
  </si>
  <si>
    <t>95</t>
  </si>
  <si>
    <t>summary_is_top_result</t>
  </si>
  <si>
    <t>是否标记为首位结果</t>
  </si>
  <si>
    <t>results[].ui_sections.summary.data.is_top_result</t>
  </si>
  <si>
    <t>布尔值或空值</t>
  </si>
  <si>
    <t>TRUE</t>
  </si>
  <si>
    <t>summary_is_best_match</t>
  </si>
  <si>
    <t>是否标记为最佳匹配</t>
  </si>
  <si>
    <t>results[].ui_sections.summary.data.is_best_match</t>
  </si>
  <si>
    <t>identity_judgement</t>
  </si>
  <si>
    <t>人工身份判断</t>
  </si>
  <si>
    <t>人工直接填写 Excel</t>
  </si>
  <si>
    <t>枚举：correct / wrong / unverifiable</t>
  </si>
  <si>
    <t>correct</t>
  </si>
  <si>
    <t>identity_evidence</t>
  </si>
  <si>
    <t>人工身份判断依据</t>
  </si>
  <si>
    <t>姓名与任职经历一致</t>
  </si>
  <si>
    <t>field_review_status</t>
  </si>
  <si>
    <t>人工字段质量判断</t>
  </si>
  <si>
    <t>枚举：correct / partial / wrong / unverifiable / not_returned / not_applicable</t>
  </si>
  <si>
    <t>partial</t>
  </si>
  <si>
    <t>人工归类的失败类型</t>
  </si>
  <si>
    <t>wrong_person</t>
  </si>
  <si>
    <t>reviewer</t>
  </si>
  <si>
    <t>复核人</t>
  </si>
  <si>
    <t>张三</t>
  </si>
  <si>
    <t>复核备注</t>
  </si>
  <si>
    <t>需补充证据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</si>
</sst>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375623"/>
      </left>
      <right/>
      <top style="thin">
        <color rgb="FF375623"/>
      </top>
      <bottom style="thin">
        <color rgb="FF375623"/>
      </bottom>
      <diagonal/>
    </border>
    <border>
      <left/>
      <right/>
      <top style="thin">
        <color rgb="FF375623"/>
      </top>
      <bottom style="thin">
        <color rgb="FF375623"/>
      </bottom>
      <diagonal/>
    </border>
    <border>
      <left/>
      <right style="thin">
        <color rgb="FF375623"/>
      </right>
      <top style="thin">
        <color rgb="FF375623"/>
      </top>
      <bottom style="thin">
        <color rgb="FF375623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1" xfId="49" applyNumberFormat="1" applyFont="1" applyFill="1" applyBorder="1" applyAlignment="1">
      <alignment vertical="center" wrapText="1"/>
    </xf>
    <xf numFmtId="0" fontId="1" fillId="2" borderId="2" xfId="49" applyNumberFormat="1" applyFont="1" applyFill="1" applyBorder="1" applyAlignment="1">
      <alignment vertical="center" wrapText="1"/>
    </xf>
    <xf numFmtId="0" fontId="1" fillId="3" borderId="3" xfId="49" applyNumberFormat="1" applyFont="1" applyFill="1" applyBorder="1" applyAlignment="1">
      <alignment vertical="center" wrapText="1"/>
    </xf>
    <xf numFmtId="0" fontId="1" fillId="3" borderId="4" xfId="49" applyNumberFormat="1" applyFont="1" applyFill="1" applyBorder="1" applyAlignment="1">
      <alignment vertical="center" wrapText="1"/>
    </xf>
    <xf numFmtId="0" fontId="1" fillId="3" borderId="5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0" fillId="4" borderId="0" xfId="49" applyNumberFormat="1" applyFont="1" applyFill="1" applyBorder="1" applyAlignment="1">
      <alignment vertical="top" wrapText="1"/>
    </xf>
    <xf numFmtId="0" fontId="1" fillId="2" borderId="6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ndidateResultsTable" displayName="CandidateResultsTable" ref="A1:AJ7" totalsRowShown="0">
  <tableColumns count="36">
    <tableColumn id="1" name="evaluation_id"/>
    <tableColumn id="2" name="run_label"/>
    <tableColumn id="3" name="query_id"/>
    <tableColumn id="4" name="person_id"/>
    <tableColumn id="5" name="query_type"/>
    <tableColumn id="6" name="task_id"/>
    <tableColumn id="7" name="candidate_id"/>
    <tableColumn id="8" name="candidate_count_total"/>
    <tableColumn id="9" name="candidate_rank"/>
    <tableColumn id="10" name="rank_score"/>
    <tableColumn id="11" name="insights_status"/>
    <tableColumn id="12" name="insights_description"/>
    <tableColumn id="13" name="insights_links"/>
    <tableColumn id="14" name="photos_status"/>
    <tableColumn id="15" name="photos_baseline_photo_url"/>
    <tableColumn id="16" name="photos_identity_match_rate"/>
    <tableColumn id="17" name="photos_authenticity_photos"/>
    <tableColumn id="18" name="photos_match_photos"/>
    <tableColumn id="19" name="profile_status"/>
    <tableColumn id="20" name="profile.Identity.Full Name"/>
    <tableColumn id="21" name="profile.Identity.Age"/>
    <tableColumn id="22" name="profile.Identity.Location"/>
    <tableColumn id="23" name="profile.Identity.Email"/>
    <tableColumn id="24" name="profile.Identity.Profile URL"/>
    <tableColumn id="25" name="profile.Career.Current Role"/>
    <tableColumn id="26" name="profile.Background.Education"/>
    <tableColumn id="27" name="profile.Career.Other Roles"/>
    <tableColumn id="28" name="social_status"/>
    <tableColumn id="29" name="social_display_handles"/>
    <tableColumn id="30" name="social_platforms"/>
    <tableColumn id="31" name="social_urls"/>
    <tableColumn id="32" name="summary_avatar_url"/>
    <tableColumn id="33" name="summary_confidence_level"/>
    <tableColumn id="34" name="summary_primary_image_url"/>
    <tableColumn id="35" name="summary_social_links"/>
    <tableColumn id="36" name="summary_web_lin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eryComparisonTable" displayName="QueryComparisonTable" ref="A1:Q3" totalsRowShown="0">
  <tableColumns count="17">
    <tableColumn id="1" name="evaluation_id"/>
    <tableColumn id="2" name="query_id"/>
    <tableColumn id="3" name="person_id"/>
    <tableColumn id="4" name="query_type"/>
    <tableColumn id="5" name="person_group"/>
    <tableColumn id="6" name="difficulty"/>
    <tableColumn id="7" name="tags"/>
    <tableColumn id="8" name="current_status"/>
    <tableColumn id="9" name="current_candidate_count"/>
    <tableColumn id="10" name="current_failure_stage"/>
    <tableColumn id="11" name="current_target_rank"/>
    <tableColumn id="12" name="current_hit1"/>
    <tableColumn id="13" name="current_hit3"/>
    <tableColumn id="14" name="current_hit5"/>
    <tableColumn id="15" name="current_mrr5"/>
    <tableColumn id="16" name="primary_failure_type"/>
    <tableColumn id="17" name="review_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bookNotesTable" displayName="WorkbookNotesTable" ref="A1:B13" totalsRowShown="0"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ndidateFieldCatalogTable" displayName="CandidateFieldCatalogTable" ref="D1:L56" totalsRowShown="0">
  <tableColumns count="9">
    <tableColumn id="1" name="序号"/>
    <tableColumn id="2" name="当前表头"/>
    <tableColumn id="3" name="中文含义"/>
    <tableColumn id="4" name="来源路径/生成规则"/>
    <tableColumn id="5" name="内容格式"/>
    <tableColumn id="6" name="示例格式"/>
    <tableColumn id="7" name="是否保留"/>
    <tableColumn id="8" name="新表头"/>
    <tableColumn id="9" name="处理规则/备注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showGridLines="0" tabSelected="1" topLeftCell="M1" workbookViewId="0">
      <selection activeCell="O2" sqref="O2"/>
    </sheetView>
  </sheetViews>
  <sheetFormatPr defaultColWidth="9" defaultRowHeight="16.8" outlineLevelRow="6"/>
  <cols>
    <col min="1" max="4" width="20" customWidth="1"/>
    <col min="5" max="5" width="16" customWidth="1"/>
    <col min="6" max="7" width="20" customWidth="1"/>
    <col min="8" max="8" width="22" customWidth="1"/>
    <col min="9" max="9" width="15" customWidth="1"/>
    <col min="10" max="10" width="18" customWidth="1"/>
    <col min="11" max="11" width="16" customWidth="1"/>
    <col min="12" max="13" width="34" customWidth="1"/>
    <col min="14" max="14" width="16" customWidth="1"/>
    <col min="15" max="15" width="34" customWidth="1"/>
    <col min="16" max="16" width="16" customWidth="1"/>
    <col min="17" max="18" width="18" customWidth="1"/>
    <col min="19" max="19" width="16" customWidth="1"/>
    <col min="20" max="27" width="18" customWidth="1"/>
    <col min="28" max="28" width="16" customWidth="1"/>
    <col min="29" max="30" width="18" customWidth="1"/>
    <col min="31" max="32" width="34" customWidth="1"/>
    <col min="33" max="33" width="16" customWidth="1"/>
    <col min="34" max="36" width="34" customWidth="1"/>
  </cols>
  <sheetData>
    <row r="1" ht="30" customHeight="1" spans="1:36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2" t="s">
        <v>35</v>
      </c>
    </row>
    <row r="2" ht="42" customHeight="1" spans="1:36">
      <c r="A2" s="6" t="s">
        <v>36</v>
      </c>
      <c r="B2" s="6" t="s">
        <v>37</v>
      </c>
      <c r="C2" s="6" t="s">
        <v>38</v>
      </c>
      <c r="D2" s="6" t="s">
        <v>39</v>
      </c>
      <c r="E2" s="6" t="s">
        <v>39</v>
      </c>
      <c r="F2" s="6" t="s">
        <v>40</v>
      </c>
      <c r="G2" s="6" t="s">
        <v>41</v>
      </c>
      <c r="H2" s="6" t="s">
        <v>39</v>
      </c>
      <c r="I2" s="6">
        <v>1</v>
      </c>
      <c r="J2" s="6" t="s">
        <v>39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39</v>
      </c>
      <c r="P2" s="6">
        <v>0</v>
      </c>
      <c r="Q2" s="6" t="s">
        <v>46</v>
      </c>
      <c r="R2" s="6" t="s">
        <v>46</v>
      </c>
      <c r="S2" s="6" t="s">
        <v>42</v>
      </c>
      <c r="T2" s="6" t="s">
        <v>47</v>
      </c>
      <c r="U2" s="6" t="s">
        <v>48</v>
      </c>
      <c r="V2" s="6" t="s">
        <v>49</v>
      </c>
      <c r="W2" s="6" t="s">
        <v>50</v>
      </c>
      <c r="X2" s="6" t="s">
        <v>51</v>
      </c>
      <c r="Y2" s="6" t="s">
        <v>52</v>
      </c>
      <c r="Z2" s="6" t="s">
        <v>53</v>
      </c>
      <c r="AA2" s="6"/>
      <c r="AB2" s="6" t="s">
        <v>42</v>
      </c>
      <c r="AC2" s="6" t="s">
        <v>54</v>
      </c>
      <c r="AD2" s="6" t="s">
        <v>55</v>
      </c>
      <c r="AE2" s="6" t="s">
        <v>56</v>
      </c>
      <c r="AF2" s="6" t="s">
        <v>57</v>
      </c>
      <c r="AG2" s="6" t="s">
        <v>58</v>
      </c>
      <c r="AH2" s="6" t="s">
        <v>57</v>
      </c>
      <c r="AI2" s="6" t="s">
        <v>59</v>
      </c>
      <c r="AJ2" s="6" t="s">
        <v>60</v>
      </c>
    </row>
    <row r="3" ht="42" customHeight="1" spans="1:36">
      <c r="A3" s="6" t="s">
        <v>36</v>
      </c>
      <c r="B3" s="6" t="s">
        <v>37</v>
      </c>
      <c r="C3" s="6" t="s">
        <v>38</v>
      </c>
      <c r="D3" s="6" t="s">
        <v>39</v>
      </c>
      <c r="E3" s="6" t="s">
        <v>39</v>
      </c>
      <c r="F3" s="6" t="s">
        <v>40</v>
      </c>
      <c r="G3" s="6" t="s">
        <v>61</v>
      </c>
      <c r="H3" s="6" t="s">
        <v>39</v>
      </c>
      <c r="I3" s="6">
        <v>2</v>
      </c>
      <c r="J3" s="6" t="s">
        <v>39</v>
      </c>
      <c r="K3" s="6" t="s">
        <v>42</v>
      </c>
      <c r="L3" s="6" t="s">
        <v>43</v>
      </c>
      <c r="M3" s="6" t="s">
        <v>39</v>
      </c>
      <c r="N3" s="6" t="s">
        <v>45</v>
      </c>
      <c r="O3" s="6" t="s">
        <v>39</v>
      </c>
      <c r="P3" s="6">
        <v>0</v>
      </c>
      <c r="Q3" s="6" t="s">
        <v>46</v>
      </c>
      <c r="R3" s="6" t="s">
        <v>46</v>
      </c>
      <c r="S3" s="6" t="s">
        <v>42</v>
      </c>
      <c r="T3" s="6" t="s">
        <v>47</v>
      </c>
      <c r="U3" s="6" t="s">
        <v>62</v>
      </c>
      <c r="V3" s="6" t="s">
        <v>63</v>
      </c>
      <c r="W3" s="6" t="s">
        <v>64</v>
      </c>
      <c r="X3" s="6" t="s">
        <v>65</v>
      </c>
      <c r="Y3" s="6" t="s">
        <v>66</v>
      </c>
      <c r="Z3" s="6" t="s">
        <v>67</v>
      </c>
      <c r="AA3" s="6"/>
      <c r="AB3" s="6" t="s">
        <v>42</v>
      </c>
      <c r="AC3" s="6" t="s">
        <v>68</v>
      </c>
      <c r="AD3" s="6" t="s">
        <v>55</v>
      </c>
      <c r="AE3" s="6" t="s">
        <v>69</v>
      </c>
      <c r="AF3" s="6" t="s">
        <v>57</v>
      </c>
      <c r="AG3" s="6" t="s">
        <v>58</v>
      </c>
      <c r="AH3" s="6" t="s">
        <v>57</v>
      </c>
      <c r="AI3" s="6" t="s">
        <v>70</v>
      </c>
      <c r="AJ3" s="6" t="s">
        <v>71</v>
      </c>
    </row>
    <row r="4" ht="42" customHeight="1" spans="1:36">
      <c r="A4" s="6" t="s">
        <v>36</v>
      </c>
      <c r="B4" s="6" t="s">
        <v>37</v>
      </c>
      <c r="C4" s="6" t="s">
        <v>38</v>
      </c>
      <c r="D4" s="6" t="s">
        <v>39</v>
      </c>
      <c r="E4" s="6" t="s">
        <v>39</v>
      </c>
      <c r="F4" s="6" t="s">
        <v>40</v>
      </c>
      <c r="G4" s="6" t="s">
        <v>72</v>
      </c>
      <c r="H4" s="6" t="s">
        <v>39</v>
      </c>
      <c r="I4" s="6">
        <v>3</v>
      </c>
      <c r="J4" s="6" t="s">
        <v>39</v>
      </c>
      <c r="K4" s="6" t="s">
        <v>42</v>
      </c>
      <c r="L4" s="6" t="s">
        <v>73</v>
      </c>
      <c r="M4" s="6" t="s">
        <v>39</v>
      </c>
      <c r="N4" s="6" t="s">
        <v>45</v>
      </c>
      <c r="O4" s="6" t="s">
        <v>39</v>
      </c>
      <c r="P4" s="6">
        <v>0</v>
      </c>
      <c r="Q4" s="6" t="s">
        <v>46</v>
      </c>
      <c r="R4" s="6" t="s">
        <v>46</v>
      </c>
      <c r="S4" s="6" t="s">
        <v>42</v>
      </c>
      <c r="T4" s="6" t="s">
        <v>47</v>
      </c>
      <c r="U4" s="6" t="s">
        <v>74</v>
      </c>
      <c r="V4" s="6" t="s">
        <v>75</v>
      </c>
      <c r="W4" s="6" t="s">
        <v>76</v>
      </c>
      <c r="X4" s="6" t="s">
        <v>77</v>
      </c>
      <c r="Y4" s="6" t="s">
        <v>78</v>
      </c>
      <c r="Z4" s="6" t="s">
        <v>79</v>
      </c>
      <c r="AA4" s="6"/>
      <c r="AB4" s="6" t="s">
        <v>42</v>
      </c>
      <c r="AC4" s="6" t="s">
        <v>80</v>
      </c>
      <c r="AD4" s="6" t="s">
        <v>81</v>
      </c>
      <c r="AE4" s="6" t="s">
        <v>82</v>
      </c>
      <c r="AF4" s="6" t="s">
        <v>57</v>
      </c>
      <c r="AG4" s="6" t="s">
        <v>58</v>
      </c>
      <c r="AH4" s="6" t="s">
        <v>57</v>
      </c>
      <c r="AI4" s="6" t="s">
        <v>83</v>
      </c>
      <c r="AJ4" s="6" t="s">
        <v>84</v>
      </c>
    </row>
    <row r="5" ht="42" customHeight="1" spans="1:36">
      <c r="A5" s="6" t="s">
        <v>36</v>
      </c>
      <c r="B5" s="6" t="s">
        <v>37</v>
      </c>
      <c r="C5" s="6" t="s">
        <v>38</v>
      </c>
      <c r="D5" s="6" t="s">
        <v>39</v>
      </c>
      <c r="E5" s="6" t="s">
        <v>39</v>
      </c>
      <c r="F5" s="6" t="s">
        <v>40</v>
      </c>
      <c r="G5" s="6" t="s">
        <v>85</v>
      </c>
      <c r="H5" s="6" t="s">
        <v>39</v>
      </c>
      <c r="I5" s="6">
        <v>4</v>
      </c>
      <c r="J5" s="6" t="s">
        <v>39</v>
      </c>
      <c r="K5" s="6" t="s">
        <v>45</v>
      </c>
      <c r="L5" s="6" t="s">
        <v>39</v>
      </c>
      <c r="M5" s="6" t="s">
        <v>39</v>
      </c>
      <c r="N5" s="6" t="s">
        <v>45</v>
      </c>
      <c r="O5" s="6" t="s">
        <v>39</v>
      </c>
      <c r="P5" s="6">
        <v>0</v>
      </c>
      <c r="Q5" s="6" t="s">
        <v>46</v>
      </c>
      <c r="R5" s="6" t="s">
        <v>46</v>
      </c>
      <c r="S5" s="6" t="s">
        <v>42</v>
      </c>
      <c r="T5" s="6" t="s">
        <v>47</v>
      </c>
      <c r="U5" s="6" t="s">
        <v>86</v>
      </c>
      <c r="V5" s="6" t="s">
        <v>87</v>
      </c>
      <c r="W5" s="6" t="s">
        <v>88</v>
      </c>
      <c r="X5" s="6" t="s">
        <v>89</v>
      </c>
      <c r="Y5" s="6" t="s">
        <v>90</v>
      </c>
      <c r="Z5" s="6" t="s">
        <v>91</v>
      </c>
      <c r="AA5" s="6"/>
      <c r="AB5" s="6" t="s">
        <v>42</v>
      </c>
      <c r="AC5" s="6" t="s">
        <v>92</v>
      </c>
      <c r="AD5" s="6" t="s">
        <v>93</v>
      </c>
      <c r="AE5" s="6" t="s">
        <v>94</v>
      </c>
      <c r="AF5" s="6" t="s">
        <v>57</v>
      </c>
      <c r="AG5" s="6" t="s">
        <v>58</v>
      </c>
      <c r="AH5" s="6" t="s">
        <v>57</v>
      </c>
      <c r="AI5" s="6" t="s">
        <v>95</v>
      </c>
      <c r="AJ5" s="6" t="s">
        <v>96</v>
      </c>
    </row>
    <row r="6" ht="42" customHeight="1" spans="1:36">
      <c r="A6" s="6" t="s">
        <v>36</v>
      </c>
      <c r="B6" s="6" t="s">
        <v>37</v>
      </c>
      <c r="C6" s="6" t="s">
        <v>38</v>
      </c>
      <c r="D6" s="6" t="s">
        <v>39</v>
      </c>
      <c r="E6" s="6" t="s">
        <v>39</v>
      </c>
      <c r="F6" s="6" t="s">
        <v>40</v>
      </c>
      <c r="G6" s="6" t="s">
        <v>97</v>
      </c>
      <c r="H6" s="6" t="s">
        <v>39</v>
      </c>
      <c r="I6" s="6">
        <v>5</v>
      </c>
      <c r="J6" s="6" t="s">
        <v>39</v>
      </c>
      <c r="K6" s="6" t="s">
        <v>45</v>
      </c>
      <c r="L6" s="6" t="s">
        <v>39</v>
      </c>
      <c r="M6" s="6" t="s">
        <v>39</v>
      </c>
      <c r="N6" s="6" t="s">
        <v>45</v>
      </c>
      <c r="O6" s="6" t="s">
        <v>39</v>
      </c>
      <c r="P6" s="6">
        <v>0</v>
      </c>
      <c r="Q6" s="6" t="s">
        <v>46</v>
      </c>
      <c r="R6" s="6" t="s">
        <v>46</v>
      </c>
      <c r="S6" s="6" t="s">
        <v>42</v>
      </c>
      <c r="T6" s="6" t="s">
        <v>47</v>
      </c>
      <c r="U6" s="6"/>
      <c r="V6" s="6" t="s">
        <v>98</v>
      </c>
      <c r="W6" s="6"/>
      <c r="X6" s="6" t="s">
        <v>99</v>
      </c>
      <c r="Y6" s="6" t="s">
        <v>100</v>
      </c>
      <c r="Z6" s="6" t="s">
        <v>101</v>
      </c>
      <c r="AA6" s="6"/>
      <c r="AB6" s="6" t="s">
        <v>42</v>
      </c>
      <c r="AC6" s="6" t="s">
        <v>102</v>
      </c>
      <c r="AD6" s="6" t="s">
        <v>103</v>
      </c>
      <c r="AE6" s="6" t="s">
        <v>99</v>
      </c>
      <c r="AF6" s="6" t="s">
        <v>57</v>
      </c>
      <c r="AG6" s="6" t="s">
        <v>58</v>
      </c>
      <c r="AH6" s="6" t="s">
        <v>57</v>
      </c>
      <c r="AI6" s="6" t="s">
        <v>104</v>
      </c>
      <c r="AJ6" s="6" t="s">
        <v>105</v>
      </c>
    </row>
    <row r="7" ht="42" customHeight="1" spans="1:36">
      <c r="A7" s="6" t="s">
        <v>36</v>
      </c>
      <c r="B7" s="6" t="s">
        <v>37</v>
      </c>
      <c r="C7" s="6" t="s">
        <v>106</v>
      </c>
      <c r="D7" s="6" t="s">
        <v>39</v>
      </c>
      <c r="E7" s="6" t="s">
        <v>39</v>
      </c>
      <c r="F7" s="6" t="s">
        <v>107</v>
      </c>
      <c r="G7" s="6" t="s">
        <v>108</v>
      </c>
      <c r="H7" s="6" t="s">
        <v>39</v>
      </c>
      <c r="I7" s="6">
        <v>1</v>
      </c>
      <c r="J7" s="6" t="s">
        <v>39</v>
      </c>
      <c r="K7" s="6" t="s">
        <v>42</v>
      </c>
      <c r="L7" s="6" t="s">
        <v>109</v>
      </c>
      <c r="M7" s="6" t="s">
        <v>110</v>
      </c>
      <c r="N7" s="6" t="s">
        <v>45</v>
      </c>
      <c r="O7" s="6" t="s">
        <v>39</v>
      </c>
      <c r="P7" s="6">
        <v>0</v>
      </c>
      <c r="Q7" s="6" t="s">
        <v>46</v>
      </c>
      <c r="R7" s="6" t="s">
        <v>46</v>
      </c>
      <c r="S7" s="6" t="s">
        <v>42</v>
      </c>
      <c r="T7" s="6" t="s">
        <v>111</v>
      </c>
      <c r="U7" s="6" t="s">
        <v>74</v>
      </c>
      <c r="V7" s="6" t="s">
        <v>112</v>
      </c>
      <c r="W7" s="6"/>
      <c r="X7" s="6" t="s">
        <v>113</v>
      </c>
      <c r="Y7" s="6" t="s">
        <v>114</v>
      </c>
      <c r="Z7" s="6" t="s">
        <v>115</v>
      </c>
      <c r="AA7" s="6" t="s">
        <v>116</v>
      </c>
      <c r="AB7" s="6" t="s">
        <v>42</v>
      </c>
      <c r="AC7" s="6" t="s">
        <v>117</v>
      </c>
      <c r="AD7" s="6" t="s">
        <v>118</v>
      </c>
      <c r="AE7" s="6" t="s">
        <v>119</v>
      </c>
      <c r="AF7" s="6" t="s">
        <v>120</v>
      </c>
      <c r="AG7" s="6" t="s">
        <v>121</v>
      </c>
      <c r="AH7" s="6" t="s">
        <v>120</v>
      </c>
      <c r="AI7" s="6" t="s">
        <v>122</v>
      </c>
      <c r="AJ7" s="6" t="s">
        <v>123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showGridLines="0" workbookViewId="0">
      <selection activeCell="A1" sqref="A1"/>
    </sheetView>
  </sheetViews>
  <sheetFormatPr defaultColWidth="9" defaultRowHeight="16.8" outlineLevelRow="2"/>
  <cols>
    <col min="1" max="3" width="20" customWidth="1"/>
    <col min="4" max="6" width="16" customWidth="1"/>
    <col min="7" max="7" width="18" customWidth="1"/>
    <col min="8" max="8" width="16" customWidth="1"/>
    <col min="9" max="9" width="22" customWidth="1"/>
    <col min="10" max="10" width="20" customWidth="1"/>
    <col min="11" max="11" width="22" customWidth="1"/>
    <col min="12" max="15" width="18" customWidth="1"/>
    <col min="16" max="16" width="20" customWidth="1"/>
    <col min="17" max="17" width="34" customWidth="1"/>
  </cols>
  <sheetData>
    <row r="1" ht="30" customHeight="1" spans="1:17">
      <c r="A1" s="1" t="s">
        <v>0</v>
      </c>
      <c r="B1" s="8" t="s">
        <v>2</v>
      </c>
      <c r="C1" s="8" t="s">
        <v>3</v>
      </c>
      <c r="D1" s="8" t="s">
        <v>4</v>
      </c>
      <c r="E1" s="8" t="s">
        <v>124</v>
      </c>
      <c r="F1" s="8" t="s">
        <v>125</v>
      </c>
      <c r="G1" s="8" t="s">
        <v>126</v>
      </c>
      <c r="H1" s="8" t="s">
        <v>127</v>
      </c>
      <c r="I1" s="8" t="s">
        <v>128</v>
      </c>
      <c r="J1" s="8" t="s">
        <v>129</v>
      </c>
      <c r="K1" s="8" t="s">
        <v>130</v>
      </c>
      <c r="L1" s="8" t="s">
        <v>131</v>
      </c>
      <c r="M1" s="8" t="s">
        <v>132</v>
      </c>
      <c r="N1" s="8" t="s">
        <v>133</v>
      </c>
      <c r="O1" s="8" t="s">
        <v>134</v>
      </c>
      <c r="P1" s="8" t="s">
        <v>135</v>
      </c>
      <c r="Q1" s="2" t="s">
        <v>136</v>
      </c>
    </row>
    <row r="2" ht="42" customHeight="1" spans="1:17">
      <c r="A2" s="6" t="s">
        <v>36</v>
      </c>
      <c r="B2" s="6" t="s">
        <v>38</v>
      </c>
      <c r="C2" s="6" t="s">
        <v>39</v>
      </c>
      <c r="D2" s="6" t="s">
        <v>39</v>
      </c>
      <c r="E2" s="6" t="s">
        <v>39</v>
      </c>
      <c r="F2" s="6" t="s">
        <v>39</v>
      </c>
      <c r="G2" s="6" t="s">
        <v>39</v>
      </c>
      <c r="H2" s="6" t="s">
        <v>137</v>
      </c>
      <c r="I2" s="6">
        <v>5</v>
      </c>
      <c r="J2" s="6" t="s">
        <v>39</v>
      </c>
      <c r="K2" s="7" t="s">
        <v>39</v>
      </c>
      <c r="L2" s="6" t="str">
        <f>IF(ISNUMBER(K2),--(K2&lt;=1),"")</f>
        <v/>
      </c>
      <c r="M2" s="6" t="str">
        <f>IF(ISNUMBER(K2),--(K2&lt;=3),"")</f>
        <v/>
      </c>
      <c r="N2" s="6" t="str">
        <f>IF(ISNUMBER(K2),--(K2&lt;=5),"")</f>
        <v/>
      </c>
      <c r="O2" s="6" t="str">
        <f>IF(ISNUMBER(K2),IF(AND(K2&gt;=1,K2&lt;=5),1/K2,0),"")</f>
        <v/>
      </c>
      <c r="P2" s="7" t="s">
        <v>39</v>
      </c>
      <c r="Q2" s="7" t="s">
        <v>39</v>
      </c>
    </row>
    <row r="3" ht="42" customHeight="1" spans="1:17">
      <c r="A3" s="6" t="s">
        <v>36</v>
      </c>
      <c r="B3" s="6" t="s">
        <v>106</v>
      </c>
      <c r="C3" s="6" t="s">
        <v>39</v>
      </c>
      <c r="D3" s="6" t="s">
        <v>39</v>
      </c>
      <c r="E3" s="6" t="s">
        <v>39</v>
      </c>
      <c r="F3" s="6" t="s">
        <v>39</v>
      </c>
      <c r="G3" s="6" t="s">
        <v>39</v>
      </c>
      <c r="H3" s="6" t="s">
        <v>137</v>
      </c>
      <c r="I3" s="6">
        <v>1</v>
      </c>
      <c r="J3" s="6" t="s">
        <v>39</v>
      </c>
      <c r="K3" s="7" t="s">
        <v>39</v>
      </c>
      <c r="L3" s="6" t="str">
        <f>IF(ISNUMBER(K3),--(K3&lt;=1),"")</f>
        <v/>
      </c>
      <c r="M3" s="6" t="str">
        <f>IF(ISNUMBER(K3),--(K3&lt;=3),"")</f>
        <v/>
      </c>
      <c r="N3" s="6" t="str">
        <f>IF(ISNUMBER(K3),--(K3&lt;=5),"")</f>
        <v/>
      </c>
      <c r="O3" s="6" t="str">
        <f>IF(ISNUMBER(K3),IF(AND(K3&gt;=1,K3&lt;=5),1/K3,0),"")</f>
        <v/>
      </c>
      <c r="P3" s="7" t="s">
        <v>39</v>
      </c>
      <c r="Q3" s="7" t="s">
        <v>39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showGridLines="0" workbookViewId="0">
      <selection activeCell="A1" sqref="A1"/>
    </sheetView>
  </sheetViews>
  <sheetFormatPr defaultColWidth="9" defaultRowHeight="16.8"/>
  <cols>
    <col min="1" max="6" width="20" customWidth="1"/>
    <col min="7" max="7" width="34" customWidth="1"/>
    <col min="8" max="8" width="20" customWidth="1"/>
    <col min="9" max="9" width="18" customWidth="1"/>
    <col min="10" max="10" width="15" customWidth="1"/>
  </cols>
  <sheetData>
    <row r="1" ht="30" customHeight="1" spans="1:10">
      <c r="A1" s="1" t="s">
        <v>0</v>
      </c>
      <c r="B1" s="8" t="s">
        <v>1</v>
      </c>
      <c r="C1" s="8" t="s">
        <v>138</v>
      </c>
      <c r="D1" s="8" t="s">
        <v>2</v>
      </c>
      <c r="E1" s="8" t="s">
        <v>5</v>
      </c>
      <c r="F1" s="8" t="s">
        <v>139</v>
      </c>
      <c r="G1" s="8" t="s">
        <v>140</v>
      </c>
      <c r="H1" s="8" t="s">
        <v>141</v>
      </c>
      <c r="I1" s="8" t="s">
        <v>142</v>
      </c>
      <c r="J1" s="2" t="s">
        <v>143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showGridLines="0" topLeftCell="B1" workbookViewId="0">
      <selection activeCell="A1" sqref="A1"/>
    </sheetView>
  </sheetViews>
  <sheetFormatPr defaultColWidth="9" defaultRowHeight="16.8"/>
  <cols>
    <col min="1" max="1" width="24" customWidth="1"/>
    <col min="2" max="2" width="70" customWidth="1"/>
    <col min="4" max="4" width="8" customWidth="1"/>
    <col min="5" max="5" width="25" customWidth="1"/>
    <col min="6" max="6" width="30" customWidth="1"/>
    <col min="7" max="7" width="52" customWidth="1"/>
    <col min="8" max="9" width="28" customWidth="1"/>
    <col min="10" max="10" width="14" customWidth="1"/>
    <col min="11" max="11" width="24" customWidth="1"/>
    <col min="12" max="12" width="40" customWidth="1"/>
  </cols>
  <sheetData>
    <row r="1" ht="30" customHeight="1" spans="1:12">
      <c r="A1" s="1" t="s">
        <v>144</v>
      </c>
      <c r="B1" s="2" t="s">
        <v>145</v>
      </c>
      <c r="D1" s="3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4" t="s">
        <v>152</v>
      </c>
      <c r="K1" s="4" t="s">
        <v>153</v>
      </c>
      <c r="L1" s="5" t="s">
        <v>154</v>
      </c>
    </row>
    <row r="2" ht="36" customHeight="1" spans="1:12">
      <c r="A2" s="6" t="s">
        <v>0</v>
      </c>
      <c r="B2" s="6" t="s">
        <v>36</v>
      </c>
      <c r="D2" s="6">
        <v>1</v>
      </c>
      <c r="E2" s="6" t="s">
        <v>0</v>
      </c>
      <c r="F2" s="6" t="s">
        <v>155</v>
      </c>
      <c r="G2" s="6" t="s">
        <v>156</v>
      </c>
      <c r="H2" s="6" t="s">
        <v>157</v>
      </c>
      <c r="I2" s="6" t="s">
        <v>158</v>
      </c>
      <c r="J2" s="7" t="s">
        <v>159</v>
      </c>
      <c r="K2" s="7" t="s">
        <v>39</v>
      </c>
      <c r="L2" s="7" t="s">
        <v>39</v>
      </c>
    </row>
    <row r="3" ht="36" customHeight="1" spans="1:12">
      <c r="A3" s="6" t="s">
        <v>160</v>
      </c>
      <c r="B3" s="6" t="s">
        <v>161</v>
      </c>
      <c r="D3" s="6">
        <v>2</v>
      </c>
      <c r="E3" s="6" t="s">
        <v>1</v>
      </c>
      <c r="F3" s="6" t="s">
        <v>162</v>
      </c>
      <c r="G3" s="6" t="s">
        <v>163</v>
      </c>
      <c r="H3" s="6" t="s">
        <v>157</v>
      </c>
      <c r="I3" s="6" t="s">
        <v>164</v>
      </c>
      <c r="J3" s="7" t="s">
        <v>159</v>
      </c>
      <c r="K3" s="7" t="s">
        <v>39</v>
      </c>
      <c r="L3" s="7" t="s">
        <v>165</v>
      </c>
    </row>
    <row r="4" ht="36" customHeight="1" spans="1:12">
      <c r="A4" s="6" t="s">
        <v>166</v>
      </c>
      <c r="B4" s="6" t="s">
        <v>167</v>
      </c>
      <c r="D4" s="6">
        <v>3</v>
      </c>
      <c r="E4" s="6" t="s">
        <v>138</v>
      </c>
      <c r="F4" s="6" t="s">
        <v>168</v>
      </c>
      <c r="G4" s="6" t="s">
        <v>169</v>
      </c>
      <c r="H4" s="6" t="s">
        <v>157</v>
      </c>
      <c r="I4" s="6" t="s">
        <v>170</v>
      </c>
      <c r="J4" s="7" t="s">
        <v>171</v>
      </c>
      <c r="K4" s="7" t="s">
        <v>39</v>
      </c>
      <c r="L4" s="7" t="s">
        <v>39</v>
      </c>
    </row>
    <row r="5" ht="36" customHeight="1" spans="1:12">
      <c r="A5" s="6" t="s">
        <v>172</v>
      </c>
      <c r="B5" s="6" t="s">
        <v>173</v>
      </c>
      <c r="D5" s="6">
        <v>4</v>
      </c>
      <c r="E5" s="6" t="s">
        <v>2</v>
      </c>
      <c r="F5" s="6" t="s">
        <v>174</v>
      </c>
      <c r="G5" s="6" t="s">
        <v>175</v>
      </c>
      <c r="H5" s="6" t="s">
        <v>157</v>
      </c>
      <c r="I5" s="6" t="s">
        <v>176</v>
      </c>
      <c r="J5" s="7" t="s">
        <v>159</v>
      </c>
      <c r="K5" s="7" t="s">
        <v>39</v>
      </c>
      <c r="L5" s="7" t="s">
        <v>39</v>
      </c>
    </row>
    <row r="6" ht="36" customHeight="1" spans="1:12">
      <c r="A6" s="6" t="s">
        <v>177</v>
      </c>
      <c r="B6" s="6" t="s">
        <v>178</v>
      </c>
      <c r="D6" s="6">
        <v>5</v>
      </c>
      <c r="E6" s="6" t="s">
        <v>3</v>
      </c>
      <c r="F6" s="6" t="s">
        <v>179</v>
      </c>
      <c r="G6" s="6" t="s">
        <v>180</v>
      </c>
      <c r="H6" s="6" t="s">
        <v>181</v>
      </c>
      <c r="I6" s="6" t="s">
        <v>182</v>
      </c>
      <c r="J6" s="7" t="s">
        <v>159</v>
      </c>
      <c r="K6" s="7" t="s">
        <v>39</v>
      </c>
      <c r="L6" s="7" t="s">
        <v>39</v>
      </c>
    </row>
    <row r="7" ht="36" customHeight="1" spans="1:12">
      <c r="A7" s="6" t="s">
        <v>183</v>
      </c>
      <c r="B7" s="6">
        <v>6</v>
      </c>
      <c r="D7" s="6">
        <v>6</v>
      </c>
      <c r="E7" s="6" t="s">
        <v>4</v>
      </c>
      <c r="F7" s="6" t="s">
        <v>184</v>
      </c>
      <c r="G7" s="6" t="s">
        <v>185</v>
      </c>
      <c r="H7" s="6" t="s">
        <v>181</v>
      </c>
      <c r="I7" s="6" t="s">
        <v>186</v>
      </c>
      <c r="J7" s="7" t="s">
        <v>159</v>
      </c>
      <c r="K7" s="7" t="s">
        <v>39</v>
      </c>
      <c r="L7" s="7" t="s">
        <v>39</v>
      </c>
    </row>
    <row r="8" ht="36" customHeight="1" spans="1:12">
      <c r="A8" s="6" t="s">
        <v>187</v>
      </c>
      <c r="B8" s="6">
        <v>2</v>
      </c>
      <c r="D8" s="6">
        <v>7</v>
      </c>
      <c r="E8" s="6" t="s">
        <v>124</v>
      </c>
      <c r="F8" s="6" t="s">
        <v>188</v>
      </c>
      <c r="G8" s="6" t="s">
        <v>189</v>
      </c>
      <c r="H8" s="6" t="s">
        <v>181</v>
      </c>
      <c r="I8" s="6" t="s">
        <v>190</v>
      </c>
      <c r="J8" s="7" t="s">
        <v>171</v>
      </c>
      <c r="K8" s="7" t="s">
        <v>39</v>
      </c>
      <c r="L8" s="7" t="s">
        <v>39</v>
      </c>
    </row>
    <row r="9" ht="36" customHeight="1" spans="1:12">
      <c r="A9" s="6" t="s">
        <v>191</v>
      </c>
      <c r="B9" s="6">
        <v>0</v>
      </c>
      <c r="D9" s="6">
        <v>8</v>
      </c>
      <c r="E9" s="6" t="s">
        <v>125</v>
      </c>
      <c r="F9" s="6" t="s">
        <v>192</v>
      </c>
      <c r="G9" s="6" t="s">
        <v>193</v>
      </c>
      <c r="H9" s="6" t="s">
        <v>181</v>
      </c>
      <c r="I9" s="6" t="s">
        <v>194</v>
      </c>
      <c r="J9" s="7" t="s">
        <v>171</v>
      </c>
      <c r="K9" s="7" t="s">
        <v>39</v>
      </c>
      <c r="L9" s="7" t="s">
        <v>39</v>
      </c>
    </row>
    <row r="10" ht="36" customHeight="1" spans="1:12">
      <c r="A10" s="6" t="s">
        <v>195</v>
      </c>
      <c r="B10" s="6">
        <v>0</v>
      </c>
      <c r="D10" s="6">
        <v>9</v>
      </c>
      <c r="E10" s="6" t="s">
        <v>126</v>
      </c>
      <c r="F10" s="6" t="s">
        <v>196</v>
      </c>
      <c r="G10" s="6" t="s">
        <v>197</v>
      </c>
      <c r="H10" s="6" t="s">
        <v>198</v>
      </c>
      <c r="I10" s="6" t="s">
        <v>199</v>
      </c>
      <c r="J10" s="7" t="s">
        <v>171</v>
      </c>
      <c r="K10" s="7" t="s">
        <v>39</v>
      </c>
      <c r="L10" s="7" t="s">
        <v>39</v>
      </c>
    </row>
    <row r="11" ht="36" customHeight="1" spans="1:12">
      <c r="A11" s="6" t="s">
        <v>200</v>
      </c>
      <c r="B11" s="6" t="s">
        <v>201</v>
      </c>
      <c r="D11" s="6">
        <v>10</v>
      </c>
      <c r="E11" s="6" t="s">
        <v>5</v>
      </c>
      <c r="F11" s="6" t="s">
        <v>202</v>
      </c>
      <c r="G11" s="6" t="s">
        <v>203</v>
      </c>
      <c r="H11" s="6" t="s">
        <v>157</v>
      </c>
      <c r="I11" s="6" t="s">
        <v>204</v>
      </c>
      <c r="J11" s="7" t="s">
        <v>159</v>
      </c>
      <c r="K11" s="7" t="s">
        <v>39</v>
      </c>
      <c r="L11" s="7" t="s">
        <v>39</v>
      </c>
    </row>
    <row r="12" ht="36" customHeight="1" spans="1:12">
      <c r="A12" s="6" t="s">
        <v>205</v>
      </c>
      <c r="B12" s="6" t="s">
        <v>206</v>
      </c>
      <c r="D12" s="6">
        <v>11</v>
      </c>
      <c r="E12" s="6" t="s">
        <v>6</v>
      </c>
      <c r="F12" s="6" t="s">
        <v>207</v>
      </c>
      <c r="G12" s="6" t="s">
        <v>208</v>
      </c>
      <c r="H12" s="6" t="s">
        <v>157</v>
      </c>
      <c r="I12" s="6" t="s">
        <v>209</v>
      </c>
      <c r="J12" s="7" t="s">
        <v>159</v>
      </c>
      <c r="K12" s="7" t="s">
        <v>39</v>
      </c>
      <c r="L12" s="7" t="s">
        <v>210</v>
      </c>
    </row>
    <row r="13" ht="36" customHeight="1" spans="1:12">
      <c r="A13" s="6" t="s">
        <v>211</v>
      </c>
      <c r="B13" s="6" t="s">
        <v>212</v>
      </c>
      <c r="D13" s="6">
        <v>12</v>
      </c>
      <c r="E13" s="6" t="s">
        <v>7</v>
      </c>
      <c r="F13" s="6" t="s">
        <v>213</v>
      </c>
      <c r="G13" s="6" t="s">
        <v>214</v>
      </c>
      <c r="H13" s="6" t="s">
        <v>215</v>
      </c>
      <c r="I13" s="6" t="s">
        <v>216</v>
      </c>
      <c r="J13" s="7" t="s">
        <v>159</v>
      </c>
      <c r="K13" s="7" t="s">
        <v>39</v>
      </c>
      <c r="L13" s="7" t="s">
        <v>39</v>
      </c>
    </row>
    <row r="14" ht="36" customHeight="1" spans="1:12">
      <c r="D14" s="6">
        <v>13</v>
      </c>
      <c r="E14" s="6" t="s">
        <v>8</v>
      </c>
      <c r="F14" s="6" t="s">
        <v>217</v>
      </c>
      <c r="G14" s="6" t="s">
        <v>218</v>
      </c>
      <c r="H14" s="6" t="s">
        <v>219</v>
      </c>
      <c r="I14" s="6" t="s">
        <v>220</v>
      </c>
      <c r="J14" s="7" t="s">
        <v>159</v>
      </c>
      <c r="K14" s="7" t="s">
        <v>39</v>
      </c>
      <c r="L14" s="7" t="s">
        <v>39</v>
      </c>
    </row>
    <row r="15" ht="36" customHeight="1" spans="1:12">
      <c r="D15" s="6">
        <v>14</v>
      </c>
      <c r="E15" s="6" t="s">
        <v>9</v>
      </c>
      <c r="F15" s="6" t="s">
        <v>221</v>
      </c>
      <c r="G15" s="6" t="s">
        <v>222</v>
      </c>
      <c r="H15" s="6" t="s">
        <v>223</v>
      </c>
      <c r="I15" s="6" t="s">
        <v>224</v>
      </c>
      <c r="J15" s="7" t="s">
        <v>159</v>
      </c>
      <c r="K15" s="7" t="s">
        <v>39</v>
      </c>
      <c r="L15" s="7" t="s">
        <v>39</v>
      </c>
    </row>
    <row r="16" ht="36" customHeight="1" spans="1:12">
      <c r="D16" s="6">
        <v>15</v>
      </c>
      <c r="E16" s="6" t="s">
        <v>10</v>
      </c>
      <c r="F16" s="6" t="s">
        <v>225</v>
      </c>
      <c r="G16" s="6" t="s">
        <v>226</v>
      </c>
      <c r="H16" s="6" t="s">
        <v>227</v>
      </c>
      <c r="I16" s="6" t="s">
        <v>42</v>
      </c>
      <c r="J16" s="7" t="s">
        <v>159</v>
      </c>
      <c r="K16" s="7" t="s">
        <v>39</v>
      </c>
      <c r="L16" s="7" t="s">
        <v>39</v>
      </c>
    </row>
    <row r="17" ht="36" customHeight="1" spans="4:12">
      <c r="D17" s="6">
        <v>16</v>
      </c>
      <c r="E17" s="6" t="s">
        <v>11</v>
      </c>
      <c r="F17" s="6" t="s">
        <v>228</v>
      </c>
      <c r="G17" s="6" t="s">
        <v>229</v>
      </c>
      <c r="H17" s="6" t="s">
        <v>181</v>
      </c>
      <c r="I17" s="6" t="s">
        <v>230</v>
      </c>
      <c r="J17" s="7" t="s">
        <v>159</v>
      </c>
      <c r="K17" s="7" t="s">
        <v>39</v>
      </c>
      <c r="L17" s="7" t="s">
        <v>39</v>
      </c>
    </row>
    <row r="18" ht="36" customHeight="1" spans="4:12">
      <c r="D18" s="6">
        <v>17</v>
      </c>
      <c r="E18" s="6" t="s">
        <v>12</v>
      </c>
      <c r="F18" s="6" t="s">
        <v>231</v>
      </c>
      <c r="G18" s="6" t="s">
        <v>232</v>
      </c>
      <c r="H18" s="6" t="s">
        <v>233</v>
      </c>
      <c r="I18" s="6" t="s">
        <v>234</v>
      </c>
      <c r="J18" s="7" t="s">
        <v>159</v>
      </c>
      <c r="K18" s="7" t="s">
        <v>39</v>
      </c>
      <c r="L18" s="7" t="s">
        <v>235</v>
      </c>
    </row>
    <row r="19" ht="36" customHeight="1" spans="4:12">
      <c r="D19" s="6">
        <v>18</v>
      </c>
      <c r="E19" s="6" t="s">
        <v>236</v>
      </c>
      <c r="F19" s="6" t="s">
        <v>237</v>
      </c>
      <c r="G19" s="6" t="s">
        <v>238</v>
      </c>
      <c r="H19" s="6" t="s">
        <v>239</v>
      </c>
      <c r="I19" s="6" t="s">
        <v>240</v>
      </c>
      <c r="J19" s="7" t="s">
        <v>171</v>
      </c>
      <c r="K19" s="7" t="s">
        <v>39</v>
      </c>
      <c r="L19" s="7" t="s">
        <v>39</v>
      </c>
    </row>
    <row r="20" ht="36" customHeight="1" spans="4:12">
      <c r="D20" s="6">
        <v>19</v>
      </c>
      <c r="E20" s="6" t="s">
        <v>13</v>
      </c>
      <c r="F20" s="6" t="s">
        <v>241</v>
      </c>
      <c r="G20" s="6" t="s">
        <v>242</v>
      </c>
      <c r="H20" s="6" t="s">
        <v>227</v>
      </c>
      <c r="I20" s="6" t="s">
        <v>42</v>
      </c>
      <c r="J20" s="7" t="s">
        <v>159</v>
      </c>
      <c r="K20" s="7" t="s">
        <v>39</v>
      </c>
      <c r="L20" s="7" t="s">
        <v>39</v>
      </c>
    </row>
    <row r="21" ht="36" customHeight="1" spans="4:12">
      <c r="D21" s="6">
        <v>20</v>
      </c>
      <c r="E21" s="6" t="s">
        <v>14</v>
      </c>
      <c r="F21" s="6" t="s">
        <v>243</v>
      </c>
      <c r="G21" s="6" t="s">
        <v>244</v>
      </c>
      <c r="H21" s="6" t="s">
        <v>245</v>
      </c>
      <c r="I21" s="6" t="s">
        <v>246</v>
      </c>
      <c r="J21" s="7" t="s">
        <v>159</v>
      </c>
      <c r="K21" s="7" t="s">
        <v>39</v>
      </c>
      <c r="L21" s="7" t="s">
        <v>39</v>
      </c>
    </row>
    <row r="22" ht="36" customHeight="1" spans="4:12">
      <c r="D22" s="6">
        <v>21</v>
      </c>
      <c r="E22" s="6" t="s">
        <v>15</v>
      </c>
      <c r="F22" s="6" t="s">
        <v>247</v>
      </c>
      <c r="G22" s="6" t="s">
        <v>248</v>
      </c>
      <c r="H22" s="6" t="s">
        <v>223</v>
      </c>
      <c r="I22" s="6" t="s">
        <v>249</v>
      </c>
      <c r="J22" s="7" t="s">
        <v>159</v>
      </c>
      <c r="K22" s="7" t="s">
        <v>39</v>
      </c>
      <c r="L22" s="7" t="s">
        <v>39</v>
      </c>
    </row>
    <row r="23" ht="36" customHeight="1" spans="4:12">
      <c r="D23" s="6">
        <v>22</v>
      </c>
      <c r="E23" s="6" t="s">
        <v>16</v>
      </c>
      <c r="F23" s="6" t="s">
        <v>250</v>
      </c>
      <c r="G23" s="6" t="s">
        <v>251</v>
      </c>
      <c r="H23" s="6" t="s">
        <v>252</v>
      </c>
      <c r="I23" s="6" t="s">
        <v>253</v>
      </c>
      <c r="J23" s="7" t="s">
        <v>159</v>
      </c>
      <c r="K23" s="7" t="s">
        <v>39</v>
      </c>
      <c r="L23" s="7" t="s">
        <v>39</v>
      </c>
    </row>
    <row r="24" ht="36" customHeight="1" spans="4:12">
      <c r="D24" s="6">
        <v>23</v>
      </c>
      <c r="E24" s="6" t="s">
        <v>17</v>
      </c>
      <c r="F24" s="6" t="s">
        <v>254</v>
      </c>
      <c r="G24" s="6" t="s">
        <v>255</v>
      </c>
      <c r="H24" s="6" t="s">
        <v>252</v>
      </c>
      <c r="I24" s="6" t="s">
        <v>46</v>
      </c>
      <c r="J24" s="7" t="s">
        <v>159</v>
      </c>
      <c r="K24" s="7" t="s">
        <v>39</v>
      </c>
      <c r="L24" s="7" t="s">
        <v>39</v>
      </c>
    </row>
    <row r="25" ht="36" customHeight="1" spans="4:12">
      <c r="D25" s="6">
        <v>24</v>
      </c>
      <c r="E25" s="6" t="s">
        <v>256</v>
      </c>
      <c r="F25" s="6" t="s">
        <v>257</v>
      </c>
      <c r="G25" s="6" t="s">
        <v>258</v>
      </c>
      <c r="H25" s="6" t="s">
        <v>239</v>
      </c>
      <c r="I25" s="6" t="s">
        <v>259</v>
      </c>
      <c r="J25" s="7" t="s">
        <v>171</v>
      </c>
      <c r="K25" s="7" t="s">
        <v>39</v>
      </c>
      <c r="L25" s="7" t="s">
        <v>39</v>
      </c>
    </row>
    <row r="26" ht="36" customHeight="1" spans="4:12">
      <c r="D26" s="6">
        <v>25</v>
      </c>
      <c r="E26" s="6" t="s">
        <v>18</v>
      </c>
      <c r="F26" s="6" t="s">
        <v>260</v>
      </c>
      <c r="G26" s="6" t="s">
        <v>261</v>
      </c>
      <c r="H26" s="6" t="s">
        <v>227</v>
      </c>
      <c r="I26" s="6" t="s">
        <v>42</v>
      </c>
      <c r="J26" s="7" t="s">
        <v>159</v>
      </c>
      <c r="K26" s="7" t="s">
        <v>39</v>
      </c>
      <c r="L26" s="7" t="s">
        <v>39</v>
      </c>
    </row>
    <row r="27" ht="36" customHeight="1" spans="4:12">
      <c r="D27" s="6">
        <v>26</v>
      </c>
      <c r="E27" s="6" t="s">
        <v>262</v>
      </c>
      <c r="F27" s="6" t="s">
        <v>263</v>
      </c>
      <c r="G27" s="6" t="s">
        <v>264</v>
      </c>
      <c r="H27" s="6" t="s">
        <v>239</v>
      </c>
      <c r="I27" s="6" t="s">
        <v>265</v>
      </c>
      <c r="J27" s="7" t="s">
        <v>171</v>
      </c>
      <c r="K27" s="7" t="s">
        <v>39</v>
      </c>
      <c r="L27" s="7" t="s">
        <v>39</v>
      </c>
    </row>
    <row r="28" ht="36" customHeight="1" spans="4:12">
      <c r="D28" s="6">
        <v>27</v>
      </c>
      <c r="E28" s="6" t="s">
        <v>19</v>
      </c>
      <c r="F28" s="6" t="s">
        <v>266</v>
      </c>
      <c r="G28" s="6" t="s">
        <v>267</v>
      </c>
      <c r="H28" s="6" t="s">
        <v>268</v>
      </c>
      <c r="I28" s="6" t="s">
        <v>157</v>
      </c>
      <c r="J28" s="7" t="s">
        <v>159</v>
      </c>
      <c r="K28" s="7" t="s">
        <v>39</v>
      </c>
      <c r="L28" s="7" t="s">
        <v>39</v>
      </c>
    </row>
    <row r="29" ht="36" customHeight="1" spans="4:12">
      <c r="D29" s="6">
        <v>28</v>
      </c>
      <c r="E29" s="6" t="s">
        <v>20</v>
      </c>
      <c r="F29" s="6" t="s">
        <v>269</v>
      </c>
      <c r="G29" s="6" t="s">
        <v>270</v>
      </c>
      <c r="H29" s="6" t="s">
        <v>268</v>
      </c>
      <c r="I29" s="6" t="s">
        <v>157</v>
      </c>
      <c r="J29" s="7" t="s">
        <v>159</v>
      </c>
      <c r="K29" s="7" t="s">
        <v>39</v>
      </c>
      <c r="L29" s="7" t="s">
        <v>39</v>
      </c>
    </row>
    <row r="30" ht="36" customHeight="1" spans="4:12">
      <c r="D30" s="6">
        <v>29</v>
      </c>
      <c r="E30" s="6" t="s">
        <v>21</v>
      </c>
      <c r="F30" s="6" t="s">
        <v>271</v>
      </c>
      <c r="G30" s="6" t="s">
        <v>272</v>
      </c>
      <c r="H30" s="6" t="s">
        <v>268</v>
      </c>
      <c r="I30" s="6" t="s">
        <v>157</v>
      </c>
      <c r="J30" s="7" t="s">
        <v>159</v>
      </c>
      <c r="K30" s="7" t="s">
        <v>39</v>
      </c>
      <c r="L30" s="7" t="s">
        <v>39</v>
      </c>
    </row>
    <row r="31" ht="36" customHeight="1" spans="4:12">
      <c r="D31" s="6">
        <v>30</v>
      </c>
      <c r="E31" s="6" t="s">
        <v>22</v>
      </c>
      <c r="F31" s="6" t="s">
        <v>273</v>
      </c>
      <c r="G31" s="6" t="s">
        <v>274</v>
      </c>
      <c r="H31" s="6" t="s">
        <v>268</v>
      </c>
      <c r="I31" s="6" t="s">
        <v>157</v>
      </c>
      <c r="J31" s="7" t="s">
        <v>159</v>
      </c>
      <c r="K31" s="7" t="s">
        <v>39</v>
      </c>
      <c r="L31" s="7" t="s">
        <v>39</v>
      </c>
    </row>
    <row r="32" ht="36" customHeight="1" spans="4:12">
      <c r="D32" s="6">
        <v>31</v>
      </c>
      <c r="E32" s="6" t="s">
        <v>23</v>
      </c>
      <c r="F32" s="6" t="s">
        <v>275</v>
      </c>
      <c r="G32" s="6" t="s">
        <v>276</v>
      </c>
      <c r="H32" s="6" t="s">
        <v>268</v>
      </c>
      <c r="I32" s="6" t="s">
        <v>157</v>
      </c>
      <c r="J32" s="7" t="s">
        <v>159</v>
      </c>
      <c r="K32" s="7" t="s">
        <v>39</v>
      </c>
      <c r="L32" s="7" t="s">
        <v>39</v>
      </c>
    </row>
    <row r="33" ht="36" customHeight="1" spans="4:12">
      <c r="D33" s="6">
        <v>32</v>
      </c>
      <c r="E33" s="6" t="s">
        <v>24</v>
      </c>
      <c r="F33" s="6" t="s">
        <v>277</v>
      </c>
      <c r="G33" s="6" t="s">
        <v>278</v>
      </c>
      <c r="H33" s="6" t="s">
        <v>268</v>
      </c>
      <c r="I33" s="6" t="s">
        <v>157</v>
      </c>
      <c r="J33" s="7" t="s">
        <v>159</v>
      </c>
      <c r="K33" s="7" t="s">
        <v>39</v>
      </c>
      <c r="L33" s="7" t="s">
        <v>39</v>
      </c>
    </row>
    <row r="34" ht="36" customHeight="1" spans="4:12">
      <c r="D34" s="6">
        <v>33</v>
      </c>
      <c r="E34" s="6" t="s">
        <v>25</v>
      </c>
      <c r="F34" s="6" t="s">
        <v>279</v>
      </c>
      <c r="G34" s="6" t="s">
        <v>280</v>
      </c>
      <c r="H34" s="6" t="s">
        <v>268</v>
      </c>
      <c r="I34" s="6" t="s">
        <v>157</v>
      </c>
      <c r="J34" s="7" t="s">
        <v>159</v>
      </c>
      <c r="K34" s="7" t="s">
        <v>39</v>
      </c>
      <c r="L34" s="7" t="s">
        <v>39</v>
      </c>
    </row>
    <row r="35" ht="36" customHeight="1" spans="4:12">
      <c r="D35" s="6">
        <v>34</v>
      </c>
      <c r="E35" s="6" t="s">
        <v>26</v>
      </c>
      <c r="F35" s="6" t="s">
        <v>281</v>
      </c>
      <c r="G35" s="6" t="s">
        <v>282</v>
      </c>
      <c r="H35" s="6" t="s">
        <v>268</v>
      </c>
      <c r="I35" s="6" t="s">
        <v>157</v>
      </c>
      <c r="J35" s="7" t="s">
        <v>159</v>
      </c>
      <c r="K35" s="7" t="s">
        <v>39</v>
      </c>
      <c r="L35" s="7" t="s">
        <v>39</v>
      </c>
    </row>
    <row r="36" ht="36" customHeight="1" spans="4:12">
      <c r="D36" s="6">
        <v>35</v>
      </c>
      <c r="E36" s="6" t="s">
        <v>27</v>
      </c>
      <c r="F36" s="6" t="s">
        <v>283</v>
      </c>
      <c r="G36" s="6" t="s">
        <v>284</v>
      </c>
      <c r="H36" s="6" t="s">
        <v>227</v>
      </c>
      <c r="I36" s="6" t="s">
        <v>42</v>
      </c>
      <c r="J36" s="7" t="s">
        <v>159</v>
      </c>
      <c r="K36" s="7" t="s">
        <v>39</v>
      </c>
      <c r="L36" s="7" t="s">
        <v>39</v>
      </c>
    </row>
    <row r="37" ht="36" customHeight="1" spans="4:12">
      <c r="D37" s="6">
        <v>36</v>
      </c>
      <c r="E37" s="6" t="s">
        <v>28</v>
      </c>
      <c r="F37" s="6" t="s">
        <v>285</v>
      </c>
      <c r="G37" s="6" t="s">
        <v>286</v>
      </c>
      <c r="H37" s="6" t="s">
        <v>287</v>
      </c>
      <c r="I37" s="6" t="s">
        <v>288</v>
      </c>
      <c r="J37" s="7" t="s">
        <v>159</v>
      </c>
      <c r="K37" s="7" t="s">
        <v>39</v>
      </c>
      <c r="L37" s="7" t="s">
        <v>39</v>
      </c>
    </row>
    <row r="38" ht="36" customHeight="1" spans="4:12">
      <c r="D38" s="6">
        <v>37</v>
      </c>
      <c r="E38" s="6" t="s">
        <v>29</v>
      </c>
      <c r="F38" s="6" t="s">
        <v>289</v>
      </c>
      <c r="G38" s="6" t="s">
        <v>290</v>
      </c>
      <c r="H38" s="6" t="s">
        <v>291</v>
      </c>
      <c r="I38" s="6" t="s">
        <v>292</v>
      </c>
      <c r="J38" s="7" t="s">
        <v>159</v>
      </c>
      <c r="K38" s="7" t="s">
        <v>39</v>
      </c>
      <c r="L38" s="7" t="s">
        <v>39</v>
      </c>
    </row>
    <row r="39" ht="36" customHeight="1" spans="4:12">
      <c r="D39" s="6">
        <v>38</v>
      </c>
      <c r="E39" s="6" t="s">
        <v>30</v>
      </c>
      <c r="F39" s="6" t="s">
        <v>293</v>
      </c>
      <c r="G39" s="6" t="s">
        <v>294</v>
      </c>
      <c r="H39" s="6" t="s">
        <v>295</v>
      </c>
      <c r="I39" s="6" t="s">
        <v>296</v>
      </c>
      <c r="J39" s="7" t="s">
        <v>159</v>
      </c>
      <c r="K39" s="7" t="s">
        <v>39</v>
      </c>
      <c r="L39" s="7" t="s">
        <v>39</v>
      </c>
    </row>
    <row r="40" ht="36" customHeight="1" spans="4:12">
      <c r="D40" s="6">
        <v>39</v>
      </c>
      <c r="E40" s="6" t="s">
        <v>297</v>
      </c>
      <c r="F40" s="6" t="s">
        <v>298</v>
      </c>
      <c r="G40" s="6" t="s">
        <v>299</v>
      </c>
      <c r="H40" s="6" t="s">
        <v>239</v>
      </c>
      <c r="I40" s="6" t="s">
        <v>300</v>
      </c>
      <c r="J40" s="7" t="s">
        <v>171</v>
      </c>
      <c r="K40" s="7" t="s">
        <v>39</v>
      </c>
      <c r="L40" s="7" t="s">
        <v>39</v>
      </c>
    </row>
    <row r="41" ht="36" customHeight="1" spans="4:12">
      <c r="D41" s="6">
        <v>40</v>
      </c>
      <c r="E41" s="6" t="s">
        <v>31</v>
      </c>
      <c r="F41" s="6" t="s">
        <v>301</v>
      </c>
      <c r="G41" s="6" t="s">
        <v>302</v>
      </c>
      <c r="H41" s="6" t="s">
        <v>245</v>
      </c>
      <c r="I41" s="6" t="s">
        <v>303</v>
      </c>
      <c r="J41" s="7" t="s">
        <v>159</v>
      </c>
      <c r="K41" s="7" t="s">
        <v>39</v>
      </c>
      <c r="L41" s="7" t="s">
        <v>39</v>
      </c>
    </row>
    <row r="42" ht="36" customHeight="1" spans="4:12">
      <c r="D42" s="6">
        <v>41</v>
      </c>
      <c r="E42" s="6" t="s">
        <v>32</v>
      </c>
      <c r="F42" s="6" t="s">
        <v>304</v>
      </c>
      <c r="G42" s="6" t="s">
        <v>305</v>
      </c>
      <c r="H42" s="6" t="s">
        <v>227</v>
      </c>
      <c r="I42" s="6" t="s">
        <v>121</v>
      </c>
      <c r="J42" s="7" t="s">
        <v>159</v>
      </c>
      <c r="K42" s="7" t="s">
        <v>39</v>
      </c>
      <c r="L42" s="7" t="s">
        <v>39</v>
      </c>
    </row>
    <row r="43" ht="36" customHeight="1" spans="4:12">
      <c r="D43" s="6">
        <v>42</v>
      </c>
      <c r="E43" s="6" t="s">
        <v>33</v>
      </c>
      <c r="F43" s="6" t="s">
        <v>306</v>
      </c>
      <c r="G43" s="6" t="s">
        <v>307</v>
      </c>
      <c r="H43" s="6" t="s">
        <v>245</v>
      </c>
      <c r="I43" s="6" t="s">
        <v>308</v>
      </c>
      <c r="J43" s="7" t="s">
        <v>159</v>
      </c>
      <c r="K43" s="7" t="s">
        <v>39</v>
      </c>
      <c r="L43" s="7" t="s">
        <v>39</v>
      </c>
    </row>
    <row r="44" ht="36" customHeight="1" spans="4:12">
      <c r="D44" s="6">
        <v>43</v>
      </c>
      <c r="E44" s="6" t="s">
        <v>34</v>
      </c>
      <c r="F44" s="6" t="s">
        <v>309</v>
      </c>
      <c r="G44" s="6" t="s">
        <v>310</v>
      </c>
      <c r="H44" s="6" t="s">
        <v>233</v>
      </c>
      <c r="I44" s="6" t="s">
        <v>311</v>
      </c>
      <c r="J44" s="7" t="s">
        <v>159</v>
      </c>
      <c r="K44" s="7" t="s">
        <v>39</v>
      </c>
      <c r="L44" s="7" t="s">
        <v>235</v>
      </c>
    </row>
    <row r="45" ht="36" customHeight="1" spans="4:12">
      <c r="D45" s="6">
        <v>44</v>
      </c>
      <c r="E45" s="6" t="s">
        <v>35</v>
      </c>
      <c r="F45" s="6" t="s">
        <v>312</v>
      </c>
      <c r="G45" s="6" t="s">
        <v>313</v>
      </c>
      <c r="H45" s="6" t="s">
        <v>233</v>
      </c>
      <c r="I45" s="6" t="s">
        <v>314</v>
      </c>
      <c r="J45" s="7" t="s">
        <v>159</v>
      </c>
      <c r="K45" s="7" t="s">
        <v>39</v>
      </c>
      <c r="L45" s="7" t="s">
        <v>235</v>
      </c>
    </row>
    <row r="46" ht="36" customHeight="1" spans="4:12">
      <c r="D46" s="6">
        <v>45</v>
      </c>
      <c r="E46" s="6" t="s">
        <v>315</v>
      </c>
      <c r="F46" s="6" t="s">
        <v>316</v>
      </c>
      <c r="G46" s="6" t="s">
        <v>317</v>
      </c>
      <c r="H46" s="6" t="s">
        <v>181</v>
      </c>
      <c r="I46" s="6" t="s">
        <v>318</v>
      </c>
      <c r="J46" s="7" t="s">
        <v>171</v>
      </c>
      <c r="K46" s="7" t="s">
        <v>39</v>
      </c>
      <c r="L46" s="7" t="s">
        <v>39</v>
      </c>
    </row>
    <row r="47" ht="36" customHeight="1" spans="4:12">
      <c r="D47" s="6">
        <v>46</v>
      </c>
      <c r="E47" s="6" t="s">
        <v>319</v>
      </c>
      <c r="F47" s="6" t="s">
        <v>320</v>
      </c>
      <c r="G47" s="6" t="s">
        <v>321</v>
      </c>
      <c r="H47" s="6" t="s">
        <v>181</v>
      </c>
      <c r="I47" s="6" t="s">
        <v>322</v>
      </c>
      <c r="J47" s="7" t="s">
        <v>171</v>
      </c>
      <c r="K47" s="7" t="s">
        <v>39</v>
      </c>
      <c r="L47" s="7" t="s">
        <v>39</v>
      </c>
    </row>
    <row r="48" ht="36" customHeight="1" spans="4:12">
      <c r="D48" s="6">
        <v>47</v>
      </c>
      <c r="E48" s="6" t="s">
        <v>323</v>
      </c>
      <c r="F48" s="6" t="s">
        <v>324</v>
      </c>
      <c r="G48" s="6" t="s">
        <v>325</v>
      </c>
      <c r="H48" s="6" t="s">
        <v>223</v>
      </c>
      <c r="I48" s="6" t="s">
        <v>326</v>
      </c>
      <c r="J48" s="7" t="s">
        <v>171</v>
      </c>
      <c r="K48" s="7" t="s">
        <v>39</v>
      </c>
      <c r="L48" s="7" t="s">
        <v>39</v>
      </c>
    </row>
    <row r="49" ht="36" customHeight="1" spans="4:12">
      <c r="D49" s="6">
        <v>48</v>
      </c>
      <c r="E49" s="6" t="s">
        <v>327</v>
      </c>
      <c r="F49" s="6" t="s">
        <v>328</v>
      </c>
      <c r="G49" s="6" t="s">
        <v>329</v>
      </c>
      <c r="H49" s="6" t="s">
        <v>330</v>
      </c>
      <c r="I49" s="6" t="s">
        <v>331</v>
      </c>
      <c r="J49" s="7" t="s">
        <v>171</v>
      </c>
      <c r="K49" s="7" t="s">
        <v>39</v>
      </c>
      <c r="L49" s="7" t="s">
        <v>39</v>
      </c>
    </row>
    <row r="50" ht="36" customHeight="1" spans="4:12">
      <c r="D50" s="6">
        <v>49</v>
      </c>
      <c r="E50" s="6" t="s">
        <v>332</v>
      </c>
      <c r="F50" s="6" t="s">
        <v>333</v>
      </c>
      <c r="G50" s="6" t="s">
        <v>334</v>
      </c>
      <c r="H50" s="6" t="s">
        <v>330</v>
      </c>
      <c r="I50" s="6" t="s">
        <v>331</v>
      </c>
      <c r="J50" s="7" t="s">
        <v>171</v>
      </c>
      <c r="K50" s="7" t="s">
        <v>39</v>
      </c>
      <c r="L50" s="7" t="s">
        <v>39</v>
      </c>
    </row>
    <row r="51" ht="36" customHeight="1" spans="4:12">
      <c r="D51" s="6">
        <v>50</v>
      </c>
      <c r="E51" s="6" t="s">
        <v>335</v>
      </c>
      <c r="F51" s="6" t="s">
        <v>336</v>
      </c>
      <c r="G51" s="6" t="s">
        <v>337</v>
      </c>
      <c r="H51" s="6" t="s">
        <v>338</v>
      </c>
      <c r="I51" s="6" t="s">
        <v>339</v>
      </c>
      <c r="J51" s="7" t="s">
        <v>171</v>
      </c>
      <c r="K51" s="7" t="s">
        <v>39</v>
      </c>
      <c r="L51" s="7" t="s">
        <v>39</v>
      </c>
    </row>
    <row r="52" ht="36" customHeight="1" spans="4:12">
      <c r="D52" s="6">
        <v>51</v>
      </c>
      <c r="E52" s="6" t="s">
        <v>340</v>
      </c>
      <c r="F52" s="6" t="s">
        <v>341</v>
      </c>
      <c r="G52" s="6" t="s">
        <v>337</v>
      </c>
      <c r="H52" s="6" t="s">
        <v>157</v>
      </c>
      <c r="I52" s="6" t="s">
        <v>342</v>
      </c>
      <c r="J52" s="7" t="s">
        <v>171</v>
      </c>
      <c r="K52" s="7" t="s">
        <v>39</v>
      </c>
      <c r="L52" s="7" t="s">
        <v>39</v>
      </c>
    </row>
    <row r="53" ht="36" customHeight="1" spans="4:12">
      <c r="D53" s="6">
        <v>52</v>
      </c>
      <c r="E53" s="6" t="s">
        <v>343</v>
      </c>
      <c r="F53" s="6" t="s">
        <v>344</v>
      </c>
      <c r="G53" s="6" t="s">
        <v>337</v>
      </c>
      <c r="H53" s="6" t="s">
        <v>345</v>
      </c>
      <c r="I53" s="6" t="s">
        <v>346</v>
      </c>
      <c r="J53" s="7" t="s">
        <v>171</v>
      </c>
      <c r="K53" s="7" t="s">
        <v>39</v>
      </c>
      <c r="L53" s="7" t="s">
        <v>39</v>
      </c>
    </row>
    <row r="54" ht="36" customHeight="1" spans="4:12">
      <c r="D54" s="6">
        <v>53</v>
      </c>
      <c r="E54" s="6" t="s">
        <v>141</v>
      </c>
      <c r="F54" s="6" t="s">
        <v>347</v>
      </c>
      <c r="G54" s="6" t="s">
        <v>337</v>
      </c>
      <c r="H54" s="6" t="s">
        <v>157</v>
      </c>
      <c r="I54" s="6" t="s">
        <v>348</v>
      </c>
      <c r="J54" s="7" t="s">
        <v>171</v>
      </c>
      <c r="K54" s="7" t="s">
        <v>39</v>
      </c>
      <c r="L54" s="7" t="s">
        <v>39</v>
      </c>
    </row>
    <row r="55" ht="36" customHeight="1" spans="4:12">
      <c r="D55" s="6">
        <v>54</v>
      </c>
      <c r="E55" s="6" t="s">
        <v>349</v>
      </c>
      <c r="F55" s="6" t="s">
        <v>350</v>
      </c>
      <c r="G55" s="6" t="s">
        <v>337</v>
      </c>
      <c r="H55" s="6" t="s">
        <v>157</v>
      </c>
      <c r="I55" s="6" t="s">
        <v>351</v>
      </c>
      <c r="J55" s="7" t="s">
        <v>171</v>
      </c>
      <c r="K55" s="7" t="s">
        <v>39</v>
      </c>
      <c r="L55" s="7" t="s">
        <v>39</v>
      </c>
    </row>
    <row r="56" ht="36" customHeight="1" spans="4:12">
      <c r="D56" s="6">
        <v>55</v>
      </c>
      <c r="E56" s="6" t="s">
        <v>136</v>
      </c>
      <c r="F56" s="6" t="s">
        <v>352</v>
      </c>
      <c r="G56" s="6" t="s">
        <v>337</v>
      </c>
      <c r="H56" s="6" t="s">
        <v>157</v>
      </c>
      <c r="I56" s="6" t="s">
        <v>353</v>
      </c>
      <c r="J56" s="7" t="s">
        <v>171</v>
      </c>
      <c r="K56" s="7" t="s">
        <v>39</v>
      </c>
      <c r="L56" s="7" t="s">
        <v>39</v>
      </c>
    </row>
  </sheetData>
  <dataValidations count="1">
    <dataValidation type="list" sqref="J2:J56">
      <formula1>"是,否,待定"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候选结果</vt:lpstr>
      <vt:lpstr>Query对比</vt:lpstr>
      <vt:lpstr>失败记录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陳兆坚</cp:lastModifiedBy>
  <dcterms:created xsi:type="dcterms:W3CDTF">2026-07-22T17:21:45Z</dcterms:created>
  <dcterms:modified xsi:type="dcterms:W3CDTF">2026-07-23T16:51:49Z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D3F520650B0F86F625D6616A06A92479_42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